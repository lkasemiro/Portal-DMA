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cicla_cedae\"/>
    </mc:Choice>
  </mc:AlternateContent>
  <xr:revisionPtr revIDLastSave="0" documentId="8_{B5616BED-6DA9-4216-ACFC-86BA481F1D80}" xr6:coauthVersionLast="47" xr6:coauthVersionMax="47" xr10:uidLastSave="{00000000-0000-0000-0000-000000000000}"/>
  <bookViews>
    <workbookView xWindow="2325" yWindow="1515" windowWidth="24840" windowHeight="14295" activeTab="1" xr2:uid="{13FB944D-51FC-4C3A-8BD6-477B238EA448}"/>
  </bookViews>
  <sheets>
    <sheet name="Planilha1" sheetId="1" r:id="rId1"/>
    <sheet name="premiacao" sheetId="3" r:id="rId2"/>
  </sheets>
  <externalReferences>
    <externalReference r:id="rId3"/>
  </externalReferences>
  <definedNames>
    <definedName name="DadosExternos_1" localSheetId="1" hidden="1">premiacao!$A$1:$H$161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2" i="1" l="1"/>
  <c r="I162" i="1" s="1"/>
  <c r="E161" i="1"/>
  <c r="A161" i="1" s="1"/>
  <c r="E160" i="1"/>
  <c r="I160" i="1" s="1"/>
  <c r="E159" i="1"/>
  <c r="I159" i="1" s="1"/>
  <c r="E158" i="1"/>
  <c r="I158" i="1" s="1"/>
  <c r="A158" i="1"/>
  <c r="E157" i="1"/>
  <c r="I157" i="1" s="1"/>
  <c r="A157" i="1"/>
  <c r="E156" i="1"/>
  <c r="I156" i="1" s="1"/>
  <c r="E155" i="1"/>
  <c r="I155" i="1" s="1"/>
  <c r="E154" i="1"/>
  <c r="I154" i="1" s="1"/>
  <c r="A154" i="1"/>
  <c r="E153" i="1"/>
  <c r="I153" i="1" s="1"/>
  <c r="A153" i="1"/>
  <c r="E152" i="1"/>
  <c r="A152" i="1" s="1"/>
  <c r="E151" i="1"/>
  <c r="I151" i="1" s="1"/>
  <c r="E150" i="1"/>
  <c r="I150" i="1" s="1"/>
  <c r="A150" i="1"/>
  <c r="E149" i="1"/>
  <c r="I149" i="1" s="1"/>
  <c r="E148" i="1"/>
  <c r="I148" i="1" s="1"/>
  <c r="E147" i="1"/>
  <c r="I147" i="1" s="1"/>
  <c r="A147" i="1"/>
  <c r="E146" i="1"/>
  <c r="I146" i="1" s="1"/>
  <c r="E145" i="1"/>
  <c r="I145" i="1" s="1"/>
  <c r="E144" i="1"/>
  <c r="A144" i="1" s="1"/>
  <c r="E143" i="1"/>
  <c r="I143" i="1" s="1"/>
  <c r="A143" i="1"/>
  <c r="E142" i="1"/>
  <c r="I142" i="1" s="1"/>
  <c r="A142" i="1"/>
  <c r="E141" i="1"/>
  <c r="I141" i="1" s="1"/>
  <c r="A141" i="1"/>
  <c r="E140" i="1"/>
  <c r="I140" i="1" s="1"/>
  <c r="A140" i="1"/>
  <c r="E139" i="1"/>
  <c r="I139" i="1" s="1"/>
  <c r="E138" i="1"/>
  <c r="I138" i="1" s="1"/>
  <c r="A138" i="1"/>
  <c r="E137" i="1"/>
  <c r="I137" i="1" s="1"/>
  <c r="E136" i="1"/>
  <c r="A136" i="1" s="1"/>
  <c r="E135" i="1"/>
  <c r="I135" i="1" s="1"/>
  <c r="E134" i="1"/>
  <c r="I134" i="1" s="1"/>
  <c r="A134" i="1"/>
  <c r="E133" i="1"/>
  <c r="I133" i="1" s="1"/>
  <c r="A133" i="1"/>
  <c r="E132" i="1"/>
  <c r="I132" i="1" s="1"/>
  <c r="A132" i="1"/>
  <c r="E131" i="1"/>
  <c r="I131" i="1" s="1"/>
  <c r="E130" i="1"/>
  <c r="I130" i="1" s="1"/>
  <c r="E129" i="1"/>
  <c r="I129" i="1" s="1"/>
  <c r="E128" i="1"/>
  <c r="A128" i="1" s="1"/>
  <c r="E127" i="1"/>
  <c r="I127" i="1" s="1"/>
  <c r="A127" i="1"/>
  <c r="E126" i="1"/>
  <c r="I126" i="1" s="1"/>
  <c r="A126" i="1"/>
  <c r="E125" i="1"/>
  <c r="I125" i="1" s="1"/>
  <c r="A125" i="1"/>
  <c r="E124" i="1"/>
  <c r="I124" i="1" s="1"/>
  <c r="E123" i="1"/>
  <c r="I123" i="1" s="1"/>
  <c r="A123" i="1"/>
  <c r="E122" i="1"/>
  <c r="I122" i="1" s="1"/>
  <c r="A122" i="1"/>
  <c r="E121" i="1"/>
  <c r="I121" i="1" s="1"/>
  <c r="A121" i="1"/>
  <c r="E120" i="1"/>
  <c r="A120" i="1" s="1"/>
  <c r="E119" i="1"/>
  <c r="I119" i="1" s="1"/>
  <c r="E118" i="1"/>
  <c r="I118" i="1" s="1"/>
  <c r="A118" i="1"/>
  <c r="E117" i="1"/>
  <c r="I117" i="1" s="1"/>
  <c r="E116" i="1"/>
  <c r="I116" i="1" s="1"/>
  <c r="E115" i="1"/>
  <c r="I115" i="1" s="1"/>
  <c r="A115" i="1"/>
  <c r="E114" i="1"/>
  <c r="I114" i="1" s="1"/>
  <c r="A114" i="1"/>
  <c r="E113" i="1"/>
  <c r="I113" i="1" s="1"/>
  <c r="A113" i="1"/>
  <c r="E112" i="1"/>
  <c r="A112" i="1" s="1"/>
  <c r="E111" i="1"/>
  <c r="I111" i="1" s="1"/>
  <c r="E110" i="1"/>
  <c r="I110" i="1" s="1"/>
  <c r="E109" i="1"/>
  <c r="I109" i="1" s="1"/>
  <c r="A109" i="1"/>
  <c r="E108" i="1"/>
  <c r="I108" i="1" s="1"/>
  <c r="A108" i="1"/>
  <c r="E107" i="1"/>
  <c r="I107" i="1" s="1"/>
  <c r="E106" i="1"/>
  <c r="A106" i="1" s="1"/>
  <c r="E105" i="1"/>
  <c r="I105" i="1" s="1"/>
  <c r="E104" i="1"/>
  <c r="A104" i="1" s="1"/>
  <c r="E103" i="1"/>
  <c r="I103" i="1" s="1"/>
  <c r="A103" i="1"/>
  <c r="E102" i="1"/>
  <c r="I102" i="1" s="1"/>
  <c r="E101" i="1"/>
  <c r="I101" i="1" s="1"/>
  <c r="E100" i="1"/>
  <c r="I100" i="1" s="1"/>
  <c r="E99" i="1"/>
  <c r="I99" i="1" s="1"/>
  <c r="E98" i="1"/>
  <c r="I98" i="1" s="1"/>
  <c r="E97" i="1"/>
  <c r="I97" i="1" s="1"/>
  <c r="A97" i="1"/>
  <c r="E96" i="1"/>
  <c r="A96" i="1" s="1"/>
  <c r="E95" i="1"/>
  <c r="I95" i="1" s="1"/>
  <c r="A95" i="1"/>
  <c r="E94" i="1"/>
  <c r="I94" i="1" s="1"/>
  <c r="A94" i="1"/>
  <c r="E93" i="1"/>
  <c r="I93" i="1" s="1"/>
  <c r="E92" i="1"/>
  <c r="I92" i="1" s="1"/>
  <c r="A92" i="1"/>
  <c r="E91" i="1"/>
  <c r="I91" i="1" s="1"/>
  <c r="E90" i="1"/>
  <c r="I90" i="1" s="1"/>
  <c r="A90" i="1"/>
  <c r="E89" i="1"/>
  <c r="I89" i="1" s="1"/>
  <c r="A89" i="1"/>
  <c r="E88" i="1"/>
  <c r="A88" i="1" s="1"/>
  <c r="E87" i="1"/>
  <c r="I87" i="1" s="1"/>
  <c r="A87" i="1"/>
  <c r="E86" i="1"/>
  <c r="I86" i="1" s="1"/>
  <c r="A86" i="1"/>
  <c r="E85" i="1"/>
  <c r="I85" i="1" s="1"/>
  <c r="E84" i="1"/>
  <c r="I84" i="1" s="1"/>
  <c r="A84" i="1"/>
  <c r="E83" i="1"/>
  <c r="I83" i="1" s="1"/>
  <c r="A83" i="1"/>
  <c r="E82" i="1"/>
  <c r="I82" i="1" s="1"/>
  <c r="A82" i="1"/>
  <c r="E81" i="1"/>
  <c r="I81" i="1" s="1"/>
  <c r="A81" i="1"/>
  <c r="E80" i="1"/>
  <c r="A80" i="1" s="1"/>
  <c r="E79" i="1"/>
  <c r="I79" i="1" s="1"/>
  <c r="A79" i="1"/>
  <c r="E78" i="1"/>
  <c r="I78" i="1" s="1"/>
  <c r="E77" i="1"/>
  <c r="I77" i="1" s="1"/>
  <c r="A77" i="1"/>
  <c r="E76" i="1"/>
  <c r="I76" i="1" s="1"/>
  <c r="A76" i="1"/>
  <c r="E75" i="1"/>
  <c r="I75" i="1" s="1"/>
  <c r="E74" i="1"/>
  <c r="I74" i="1" s="1"/>
  <c r="E73" i="1"/>
  <c r="I73" i="1" s="1"/>
  <c r="E72" i="1"/>
  <c r="A72" i="1" s="1"/>
  <c r="E71" i="1"/>
  <c r="I71" i="1" s="1"/>
  <c r="A71" i="1"/>
  <c r="E70" i="1"/>
  <c r="I70" i="1" s="1"/>
  <c r="E69" i="1"/>
  <c r="I69" i="1" s="1"/>
  <c r="A69" i="1"/>
  <c r="E68" i="1"/>
  <c r="I68" i="1" s="1"/>
  <c r="A68" i="1"/>
  <c r="E67" i="1"/>
  <c r="I67" i="1" s="1"/>
  <c r="A67" i="1"/>
  <c r="E66" i="1"/>
  <c r="I66" i="1" s="1"/>
  <c r="A66" i="1"/>
  <c r="E65" i="1"/>
  <c r="I65" i="1" s="1"/>
  <c r="E64" i="1"/>
  <c r="A64" i="1" s="1"/>
  <c r="E63" i="1"/>
  <c r="I63" i="1" s="1"/>
  <c r="A63" i="1"/>
  <c r="E62" i="1"/>
  <c r="I62" i="1" s="1"/>
  <c r="A62" i="1"/>
  <c r="E61" i="1"/>
  <c r="I61" i="1" s="1"/>
  <c r="E60" i="1"/>
  <c r="I60" i="1" s="1"/>
  <c r="E59" i="1"/>
  <c r="I59" i="1" s="1"/>
  <c r="A59" i="1"/>
  <c r="E58" i="1"/>
  <c r="I58" i="1" s="1"/>
  <c r="E57" i="1"/>
  <c r="I57" i="1" s="1"/>
  <c r="A57" i="1"/>
  <c r="E56" i="1"/>
  <c r="A56" i="1" s="1"/>
  <c r="E55" i="1"/>
  <c r="I55" i="1" s="1"/>
  <c r="A55" i="1"/>
  <c r="E54" i="1"/>
  <c r="I54" i="1" s="1"/>
  <c r="A54" i="1"/>
  <c r="E53" i="1"/>
  <c r="I53" i="1" s="1"/>
  <c r="A53" i="1"/>
  <c r="E52" i="1"/>
  <c r="I52" i="1" s="1"/>
  <c r="A52" i="1"/>
  <c r="E51" i="1"/>
  <c r="I51" i="1" s="1"/>
  <c r="A51" i="1"/>
  <c r="E50" i="1"/>
  <c r="I50" i="1" s="1"/>
  <c r="E49" i="1"/>
  <c r="I49" i="1" s="1"/>
  <c r="E48" i="1"/>
  <c r="A48" i="1" s="1"/>
  <c r="E47" i="1"/>
  <c r="I47" i="1" s="1"/>
  <c r="E46" i="1"/>
  <c r="I46" i="1" s="1"/>
  <c r="E45" i="1"/>
  <c r="I45" i="1" s="1"/>
  <c r="A45" i="1"/>
  <c r="E44" i="1"/>
  <c r="I44" i="1" s="1"/>
  <c r="A44" i="1"/>
  <c r="E43" i="1"/>
  <c r="I43" i="1" s="1"/>
  <c r="A43" i="1"/>
  <c r="E42" i="1"/>
  <c r="I42" i="1" s="1"/>
  <c r="E41" i="1"/>
  <c r="A41" i="1" s="1"/>
  <c r="E40" i="1"/>
  <c r="A40" i="1" s="1"/>
  <c r="E39" i="1"/>
  <c r="I39" i="1" s="1"/>
  <c r="A39" i="1"/>
  <c r="E38" i="1"/>
  <c r="I38" i="1" s="1"/>
  <c r="A38" i="1"/>
  <c r="E37" i="1"/>
  <c r="I37" i="1" s="1"/>
  <c r="A37" i="1"/>
  <c r="E36" i="1"/>
  <c r="I36" i="1" s="1"/>
  <c r="E35" i="1"/>
  <c r="I35" i="1" s="1"/>
  <c r="E34" i="1"/>
  <c r="I34" i="1" s="1"/>
  <c r="E33" i="1"/>
  <c r="I33" i="1" s="1"/>
  <c r="A33" i="1"/>
  <c r="E32" i="1"/>
  <c r="A32" i="1" s="1"/>
  <c r="E31" i="1"/>
  <c r="I31" i="1" s="1"/>
  <c r="E30" i="1"/>
  <c r="I30" i="1" s="1"/>
  <c r="A30" i="1"/>
  <c r="E29" i="1"/>
  <c r="I29" i="1" s="1"/>
  <c r="A29" i="1"/>
  <c r="E28" i="1"/>
  <c r="I28" i="1" s="1"/>
  <c r="A28" i="1"/>
  <c r="E27" i="1"/>
  <c r="I27" i="1" s="1"/>
  <c r="A27" i="1"/>
  <c r="E26" i="1"/>
  <c r="A26" i="1" s="1"/>
  <c r="E25" i="1"/>
  <c r="I25" i="1" s="1"/>
  <c r="E24" i="1"/>
  <c r="A24" i="1" s="1"/>
  <c r="E23" i="1"/>
  <c r="I23" i="1" s="1"/>
  <c r="E22" i="1"/>
  <c r="I22" i="1" s="1"/>
  <c r="E21" i="1"/>
  <c r="I21" i="1" s="1"/>
  <c r="A21" i="1"/>
  <c r="E20" i="1"/>
  <c r="I20" i="1" s="1"/>
  <c r="E19" i="1"/>
  <c r="I19" i="1" s="1"/>
  <c r="A19" i="1"/>
  <c r="E18" i="1"/>
  <c r="I18" i="1" s="1"/>
  <c r="E17" i="1"/>
  <c r="I17" i="1" s="1"/>
  <c r="E16" i="1"/>
  <c r="A16" i="1" s="1"/>
  <c r="E15" i="1"/>
  <c r="I15" i="1" s="1"/>
  <c r="E14" i="1"/>
  <c r="I14" i="1" s="1"/>
  <c r="A14" i="1"/>
  <c r="E13" i="1"/>
  <c r="I13" i="1" s="1"/>
  <c r="A13" i="1"/>
  <c r="E12" i="1"/>
  <c r="I12" i="1" s="1"/>
  <c r="A12" i="1"/>
  <c r="E11" i="1"/>
  <c r="I11" i="1" s="1"/>
  <c r="E10" i="1"/>
  <c r="I10" i="1" s="1"/>
  <c r="E9" i="1"/>
  <c r="A9" i="1" s="1"/>
  <c r="E8" i="1"/>
  <c r="A8" i="1" s="1"/>
  <c r="E7" i="1"/>
  <c r="I7" i="1" s="1"/>
  <c r="A7" i="1"/>
  <c r="E6" i="1"/>
  <c r="I6" i="1" s="1"/>
  <c r="A6" i="1"/>
  <c r="E5" i="1"/>
  <c r="I5" i="1" s="1"/>
  <c r="A5" i="1"/>
  <c r="E4" i="1"/>
  <c r="I4" i="1" s="1"/>
  <c r="E3" i="1"/>
  <c r="A3" i="1" s="1"/>
  <c r="A110" i="1" l="1"/>
  <c r="A17" i="1"/>
  <c r="A47" i="1"/>
  <c r="A34" i="1"/>
  <c r="A65" i="1"/>
  <c r="A93" i="1"/>
  <c r="A124" i="1"/>
  <c r="A139" i="1"/>
  <c r="A70" i="1"/>
  <c r="A85" i="1"/>
  <c r="A99" i="1"/>
  <c r="A130" i="1"/>
  <c r="A155" i="1"/>
  <c r="A4" i="1"/>
  <c r="A116" i="1"/>
  <c r="A101" i="1"/>
  <c r="A60" i="1"/>
  <c r="A102" i="1"/>
  <c r="A117" i="1"/>
  <c r="A131" i="1"/>
  <c r="A145" i="1"/>
  <c r="A15" i="1"/>
  <c r="A31" i="1"/>
  <c r="A46" i="1"/>
  <c r="A75" i="1"/>
  <c r="I136" i="1"/>
  <c r="I48" i="1"/>
  <c r="A20" i="1"/>
  <c r="A78" i="1"/>
  <c r="A91" i="1"/>
  <c r="A105" i="1"/>
  <c r="A119" i="1"/>
  <c r="A146" i="1"/>
  <c r="I24" i="1"/>
  <c r="I64" i="1"/>
  <c r="I128" i="1"/>
  <c r="A156" i="1"/>
  <c r="I88" i="1"/>
  <c r="I80" i="1"/>
  <c r="I72" i="1"/>
  <c r="A135" i="1"/>
  <c r="A151" i="1"/>
  <c r="I104" i="1"/>
  <c r="I8" i="1"/>
  <c r="A10" i="1"/>
  <c r="A22" i="1"/>
  <c r="A35" i="1"/>
  <c r="A61" i="1"/>
  <c r="A111" i="1"/>
  <c r="I40" i="1"/>
  <c r="A148" i="1"/>
  <c r="I16" i="1"/>
  <c r="I56" i="1"/>
  <c r="A107" i="1"/>
  <c r="I144" i="1"/>
  <c r="I96" i="1"/>
  <c r="A11" i="1"/>
  <c r="A23" i="1"/>
  <c r="A36" i="1"/>
  <c r="A49" i="1"/>
  <c r="A162" i="1"/>
  <c r="I152" i="1"/>
  <c r="I32" i="1"/>
  <c r="I120" i="1"/>
  <c r="A100" i="1"/>
  <c r="I112" i="1"/>
  <c r="A137" i="1"/>
  <c r="A149" i="1"/>
  <c r="A73" i="1"/>
  <c r="A129" i="1"/>
  <c r="A18" i="1"/>
  <c r="A42" i="1"/>
  <c r="A98" i="1"/>
  <c r="I106" i="1"/>
  <c r="E163" i="1"/>
  <c r="A163" i="1" s="1"/>
  <c r="F166" i="1"/>
  <c r="I41" i="1"/>
  <c r="I9" i="1"/>
  <c r="A25" i="1"/>
  <c r="A58" i="1"/>
  <c r="A74" i="1"/>
  <c r="F172" i="1"/>
  <c r="I26" i="1"/>
  <c r="I161" i="1"/>
  <c r="A50" i="1"/>
  <c r="I3" i="1"/>
  <c r="F167" i="1" l="1"/>
  <c r="F168" i="1" l="1"/>
  <c r="F169" i="1" l="1"/>
  <c r="F170" i="1" l="1"/>
  <c r="F171" i="1" l="1"/>
  <c r="F173" i="1" l="1"/>
  <c r="F174" i="1" l="1"/>
  <c r="G173" i="1"/>
  <c r="G172" i="1"/>
  <c r="G166" i="1"/>
  <c r="G167" i="1"/>
  <c r="G168" i="1"/>
  <c r="G169" i="1"/>
  <c r="G170" i="1"/>
  <c r="G17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35C9CC-C3BE-4E04-966E-33472A05BDBA}" keepAlive="1" name="Consulta - Tabela2" description="Conexão com a consulta 'Tabela2' na pasta de trabalho." type="5" refreshedVersion="8" background="1" saveData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<sst xmlns="http://schemas.openxmlformats.org/spreadsheetml/2006/main" count="811" uniqueCount="284">
  <si>
    <t>FAZER O PREENCHIMENTO NESTE ABA!! A aba seguinte é para verificar o ranking e quem tem direito.</t>
  </si>
  <si>
    <t>Somatório</t>
  </si>
  <si>
    <t>N° ID</t>
  </si>
  <si>
    <t>Nome:</t>
  </si>
  <si>
    <t>Diretoria:</t>
  </si>
  <si>
    <t>Broche</t>
  </si>
  <si>
    <t>Mochila</t>
  </si>
  <si>
    <t>Quantidade retirada (sacos de composto orgânico)</t>
  </si>
  <si>
    <t>Quantidade de Pacotes disponíveis de composto orgânico
(1 pacote / 10 kg)</t>
  </si>
  <si>
    <t>Adriana a l santos</t>
  </si>
  <si>
    <t>DFI</t>
  </si>
  <si>
    <t>Ailton Gomes Costa Junior</t>
  </si>
  <si>
    <t>FAZER ENTREGA</t>
  </si>
  <si>
    <t>Aldo Cabral da Silva</t>
  </si>
  <si>
    <t>DPR</t>
  </si>
  <si>
    <t>Alessandra Pereira Ribeiro da Silva</t>
  </si>
  <si>
    <t>DSG</t>
  </si>
  <si>
    <t>Alexandre Souza</t>
  </si>
  <si>
    <t>Entregue</t>
  </si>
  <si>
    <t>Alexandre Valadão Lopes</t>
  </si>
  <si>
    <t>Alexsandro da Silva Cunha</t>
  </si>
  <si>
    <t>Aline do Nascimento Barbosa</t>
  </si>
  <si>
    <t>DTP</t>
  </si>
  <si>
    <t>Aline Monzato Freitas</t>
  </si>
  <si>
    <t>Allan Jammel Soares da Silva</t>
  </si>
  <si>
    <t>Amanda Campos</t>
  </si>
  <si>
    <t>ANA TEREZA SOUZA MARTINS</t>
  </si>
  <si>
    <t>Andrea Guimarães Oliveira de Lima</t>
  </si>
  <si>
    <t xml:space="preserve">Andrea Paulo da Cunha Pulici </t>
  </si>
  <si>
    <t>Andrezza dos santos maia</t>
  </si>
  <si>
    <t>ANGELA DIAS</t>
  </si>
  <si>
    <t>AUGUSTO JOSÉ CAMPOS DE SOUZA</t>
  </si>
  <si>
    <t>Barbara Campos Tavares</t>
  </si>
  <si>
    <t>DDC</t>
  </si>
  <si>
    <t>bruno ferreira de oliveira</t>
  </si>
  <si>
    <t>Camilla Beatriz De souza Ferreira</t>
  </si>
  <si>
    <t>Carla Eduarda</t>
  </si>
  <si>
    <t xml:space="preserve">caroline lima </t>
  </si>
  <si>
    <t>ceres regina de santa rosa</t>
  </si>
  <si>
    <t>RECUSOU</t>
  </si>
  <si>
    <t>Christiane Furtado</t>
  </si>
  <si>
    <t>Cintia Rosa Machado</t>
  </si>
  <si>
    <t>CLAUDIA DOS SANTOS DE MEDEIROS</t>
  </si>
  <si>
    <t>Cleonice Barbosa</t>
  </si>
  <si>
    <t>CRISTIANE RIBEIRO ANDRADE</t>
  </si>
  <si>
    <t>Cristina Bonella</t>
  </si>
  <si>
    <t>DALVA ALVES BARROS RITTER VIANA</t>
  </si>
  <si>
    <t>Daniela Bezerra de Menezes Uliana</t>
  </si>
  <si>
    <t>DJU</t>
  </si>
  <si>
    <t>Denise Martins Sant Anna Pestana</t>
  </si>
  <si>
    <t>DEONILHA DE SOUZA COELHO</t>
  </si>
  <si>
    <t>edivaldo silva cavalcanti</t>
  </si>
  <si>
    <t>Elayna Crislayne dos Santos Furtado</t>
  </si>
  <si>
    <t>elder muniz da silva</t>
  </si>
  <si>
    <t>Elenita Oliveira da Silva</t>
  </si>
  <si>
    <t>Elisangela Felix</t>
  </si>
  <si>
    <t>ERICA FERREIRA PEÇANHA</t>
  </si>
  <si>
    <t>Erika Martins</t>
  </si>
  <si>
    <t>Evelyn Monteiro</t>
  </si>
  <si>
    <t>Fabiana Ludwig Farina</t>
  </si>
  <si>
    <t>Fatima Carvalho</t>
  </si>
  <si>
    <t>Fernando Rastrelli</t>
  </si>
  <si>
    <t>Gabriel da Silva Couto</t>
  </si>
  <si>
    <t>Gabriella Lodi Martelo dos Santos</t>
  </si>
  <si>
    <t>GEORGE CRUZ</t>
  </si>
  <si>
    <t>George Domingues</t>
  </si>
  <si>
    <t xml:space="preserve">GISELLI MAGALHÃES DE PINHO </t>
  </si>
  <si>
    <t>glaucesampaio@gmail.com</t>
  </si>
  <si>
    <t>graziela jasbick</t>
  </si>
  <si>
    <t>GUSTAVO DOS SANTOS DINIZ</t>
  </si>
  <si>
    <t>Heitor Diogo da Silva</t>
  </si>
  <si>
    <t>Igor Ahlert</t>
  </si>
  <si>
    <t>Ione de Souza Rodrigues</t>
  </si>
  <si>
    <t>Irina Ciccarino</t>
  </si>
  <si>
    <t>Izabelle de Jesus Almeida dos Santos</t>
  </si>
  <si>
    <t>Juliana Ribeiro Arantes</t>
  </si>
  <si>
    <t xml:space="preserve">Juliana Sousa </t>
  </si>
  <si>
    <t xml:space="preserve">Larissa Martini </t>
  </si>
  <si>
    <t xml:space="preserve">Lilian da Silva Braga </t>
  </si>
  <si>
    <t>LUANA DE LIRA BARBOSA</t>
  </si>
  <si>
    <t>Luciana da Cruz Thomazi</t>
  </si>
  <si>
    <t xml:space="preserve">Luciana Silva dos Santos </t>
  </si>
  <si>
    <t>Luciana Vicente Diniz</t>
  </si>
  <si>
    <t>Luis Felipe Vasconcelos dos Santos</t>
  </si>
  <si>
    <t>Luiz Henrique Vieira Neves</t>
  </si>
  <si>
    <t>Marcele Fortini A. Fernandes</t>
  </si>
  <si>
    <t>MARCELO JOSÉ SARDINHA CARVALHAES</t>
  </si>
  <si>
    <t>MARIA LUCIA DE NOBREGA DA SILVA RIBEIRO</t>
  </si>
  <si>
    <t>Marli Moreira da Costa</t>
  </si>
  <si>
    <t>Matheus Ferreira de Souza</t>
  </si>
  <si>
    <t>Matheus Pacheco</t>
  </si>
  <si>
    <t>Matheus Pereira Ramos</t>
  </si>
  <si>
    <t>MAURICIO NOGUEIRA</t>
  </si>
  <si>
    <t>Milena Souza</t>
  </si>
  <si>
    <t>Mileny Calazans Ribeiro</t>
  </si>
  <si>
    <t>Miriam Mos Blois</t>
  </si>
  <si>
    <t>Náyra Duarte Narciso</t>
  </si>
  <si>
    <t xml:space="preserve">Nicole Mendes Rocha </t>
  </si>
  <si>
    <t>Nivea Pereira</t>
  </si>
  <si>
    <t>NIVEA INACIA EPIFANIO</t>
  </si>
  <si>
    <t>OCTÁVIO AUGUSTO NASCIMENTO RODRIGUES</t>
  </si>
  <si>
    <t>Paulo Henrique Pereira Reis</t>
  </si>
  <si>
    <t>Rafaela Bernardes Mendes</t>
  </si>
  <si>
    <t>Rafaela Marinho Mata</t>
  </si>
  <si>
    <t>Roberta Maria de Souza Mello</t>
  </si>
  <si>
    <t>Sérgio Castilho de Oliveira</t>
  </si>
  <si>
    <t>Sergio Corrêa Dias</t>
  </si>
  <si>
    <t>Sinval de Oliveira Filho</t>
  </si>
  <si>
    <t>SUNAMITA CRISTIANE PACHECO</t>
  </si>
  <si>
    <t>TEREZA CRISTINA REIS DA SILVA</t>
  </si>
  <si>
    <t>Thainá Tavares Guerreiro</t>
  </si>
  <si>
    <t>Thays Mattarazzo</t>
  </si>
  <si>
    <t>Vinicius Eduardo de Castro Sá</t>
  </si>
  <si>
    <t>Vivian Estela Feitoza</t>
  </si>
  <si>
    <t>Viviane Passos de Oliveira</t>
  </si>
  <si>
    <t>Wallacy Hewdryo Oliveira Faria</t>
  </si>
  <si>
    <t>Agar de Pinhão Vinagre</t>
  </si>
  <si>
    <t>Alexander Joaquim Lourenço</t>
  </si>
  <si>
    <t>Ary Girata</t>
  </si>
  <si>
    <t>Cristiana S. Passos</t>
  </si>
  <si>
    <t>Edson Satil</t>
  </si>
  <si>
    <t>Elaine Mendonça</t>
  </si>
  <si>
    <t>João Vitor Santana</t>
  </si>
  <si>
    <t>Leonor Estrela</t>
  </si>
  <si>
    <t>Lucia Helena F. Prado</t>
  </si>
  <si>
    <t>Luiza Veronica Oliveira Andrade</t>
  </si>
  <si>
    <t>Marli Silva</t>
  </si>
  <si>
    <t>Michelle Medeiros</t>
  </si>
  <si>
    <t>Mirian de Barros F. Venancio</t>
  </si>
  <si>
    <t>Raquel Martins Cantidiano dos Santos</t>
  </si>
  <si>
    <t>Sidney Ranchertson Silveira Barbosa</t>
  </si>
  <si>
    <t>Viviane Melo de Souza</t>
  </si>
  <si>
    <t>Yaramar Barbosa</t>
  </si>
  <si>
    <t>Paulo Cesar Sant Anna Rosa</t>
  </si>
  <si>
    <t>Rejane das Neves Silva</t>
  </si>
  <si>
    <t>Rodrigo Bittencourt</t>
  </si>
  <si>
    <t>Marcelly M.A. Jayme</t>
  </si>
  <si>
    <t>Wilton das Chagas</t>
  </si>
  <si>
    <t>Daniely G. M. Chagas</t>
  </si>
  <si>
    <t>Isabelli Moura Coelho</t>
  </si>
  <si>
    <t>Letícia Oliveira Gomes da Silva</t>
  </si>
  <si>
    <t>AGHATA CRISTINY RODRIGUES DA SILVA</t>
  </si>
  <si>
    <t>Alciane Sara Bordin</t>
  </si>
  <si>
    <t xml:space="preserve">Ana Saad </t>
  </si>
  <si>
    <t>Bárbara Castro Magalhães Moreira</t>
  </si>
  <si>
    <t>carla eduarda ferreira rodrigues</t>
  </si>
  <si>
    <t>Carolina de Freitas</t>
  </si>
  <si>
    <t>Cristiane Fialho Coutinho da Silva</t>
  </si>
  <si>
    <t>Débora Ferreira da Rosa</t>
  </si>
  <si>
    <t>Fabiana Torres Maia</t>
  </si>
  <si>
    <t>Henrique Belluomini</t>
  </si>
  <si>
    <t>ISABELLA SCHMITT ARRUDA MOREIRA</t>
  </si>
  <si>
    <t>kelly matta</t>
  </si>
  <si>
    <t>luisa kasemiro</t>
  </si>
  <si>
    <t>Manoella Siqueira Campos da Costa Santos</t>
  </si>
  <si>
    <t xml:space="preserve">Marcio Vinicius Aguiar Soares </t>
  </si>
  <si>
    <t>Pedro Luiz de Melo Amaral Filho</t>
  </si>
  <si>
    <t>Regiane Morato</t>
  </si>
  <si>
    <t>RODRIGO MOTTA POMPEU</t>
  </si>
  <si>
    <t>Rodrigo Neves SOares</t>
  </si>
  <si>
    <t>Sandra Xavier</t>
  </si>
  <si>
    <t>severina  ferreira da silva</t>
  </si>
  <si>
    <t>Stephany Catão de Sousa</t>
  </si>
  <si>
    <t>Tatiana Sousa dos Santos Salgado</t>
  </si>
  <si>
    <t>THELMELITA FERNANDES CAMPOS</t>
  </si>
  <si>
    <t>Jane Moura</t>
  </si>
  <si>
    <t xml:space="preserve">Ana Aline Muniz </t>
  </si>
  <si>
    <t>Priscila Alves Fernandes de Oliveira</t>
  </si>
  <si>
    <t>Elvis Landmann</t>
  </si>
  <si>
    <t>nathan luciano</t>
  </si>
  <si>
    <t>Aline Silva de Azevedo</t>
  </si>
  <si>
    <t xml:space="preserve">Natália Aguiar </t>
  </si>
  <si>
    <t>Luize Esther Silva Procopio</t>
  </si>
  <si>
    <t>Camila Mota de Souza</t>
  </si>
  <si>
    <t xml:space="preserve">Elioenai Pereira </t>
  </si>
  <si>
    <t xml:space="preserve">DSG </t>
  </si>
  <si>
    <t>Denise Ricardo</t>
  </si>
  <si>
    <t>Thamires Lopes</t>
  </si>
  <si>
    <t xml:space="preserve">CEDAE - 7° andar </t>
  </si>
  <si>
    <t>PESAGEM TOTAL DE RECICLÁVEIS E ORGÂNICOS</t>
  </si>
  <si>
    <t>Faixa</t>
  </si>
  <si>
    <t>Quantidade (kg)</t>
  </si>
  <si>
    <t>N° participantes             por faixa</t>
  </si>
  <si>
    <t>%</t>
  </si>
  <si>
    <t>0 kg</t>
  </si>
  <si>
    <t>&lt;10</t>
  </si>
  <si>
    <t>Entre 0 e 10kg</t>
  </si>
  <si>
    <t>&lt;50</t>
  </si>
  <si>
    <t>Entre 10 e 50kg</t>
  </si>
  <si>
    <t>&lt;100</t>
  </si>
  <si>
    <t>Entre 50 e 100kg</t>
  </si>
  <si>
    <t>&lt;500</t>
  </si>
  <si>
    <t>Entre 100 e 500kg</t>
  </si>
  <si>
    <t>&lt;1000</t>
  </si>
  <si>
    <t>Entre 500 e 1000kg</t>
  </si>
  <si>
    <t>&gt;1000</t>
  </si>
  <si>
    <t>Acima de 1000kg</t>
  </si>
  <si>
    <t>Total de participantes</t>
  </si>
  <si>
    <t>Total de participantes ATIVOS</t>
  </si>
  <si>
    <t>-</t>
  </si>
  <si>
    <t>Pendente</t>
  </si>
  <si>
    <t>Heitor Diogo Da Silva</t>
  </si>
  <si>
    <t xml:space="preserve">Lilian Da Silva Braga </t>
  </si>
  <si>
    <t>Ione De Souza Rodrigues</t>
  </si>
  <si>
    <t>Raquel Martins Cantidiano Dos Santos</t>
  </si>
  <si>
    <t>Manoella Siqueira Campos Da Costa Santos</t>
  </si>
  <si>
    <t>Gustavo Dos Santos Diniz</t>
  </si>
  <si>
    <t xml:space="preserve">Cedae - 7° Andar </t>
  </si>
  <si>
    <t>Rejane Das Neves Silva</t>
  </si>
  <si>
    <t>Elayna Crislayne Dos Santos Furtado</t>
  </si>
  <si>
    <t>Deonilha De Souza Coelho</t>
  </si>
  <si>
    <t>Sérgio Castilho De Oliveira</t>
  </si>
  <si>
    <t>Ana Tereza Souza Martins</t>
  </si>
  <si>
    <t>Dalva Alves Barros Ritter Viana</t>
  </si>
  <si>
    <t>Agar De Pinhão Vinagre</t>
  </si>
  <si>
    <t>Severina  Ferreira Da Silva</t>
  </si>
  <si>
    <t>Ceres Regina De Santa Rosa</t>
  </si>
  <si>
    <t>Augusto José Campos De Souza</t>
  </si>
  <si>
    <t>Izabelle De Jesus Almeida Dos Santos</t>
  </si>
  <si>
    <t>Marli Moreira Da Costa</t>
  </si>
  <si>
    <t>Maria Lucia De Nobrega Da Silva Ribeiro</t>
  </si>
  <si>
    <t>Thelmelita Fernandes Campos</t>
  </si>
  <si>
    <t>Letícia Oliveira Gomes Da Silva</t>
  </si>
  <si>
    <t>Tereza Cristina Reis Da Silva</t>
  </si>
  <si>
    <t>Cristiane Ribeiro Andrade</t>
  </si>
  <si>
    <t>Alessandra Pereira Ribeiro Da Silva</t>
  </si>
  <si>
    <t>Luciana Da Cruz Thomazi</t>
  </si>
  <si>
    <t>Roberta Maria De Souza Mello</t>
  </si>
  <si>
    <t>Aline Silva De Azevedo</t>
  </si>
  <si>
    <t>Débora Ferreira Da Rosa</t>
  </si>
  <si>
    <t>Wilton Das Chagas</t>
  </si>
  <si>
    <t xml:space="preserve">Luciana Silva Dos Santos </t>
  </si>
  <si>
    <t>Elenita Oliveira Da Silva</t>
  </si>
  <si>
    <t>Gabriella Lodi Martelo Dos Santos</t>
  </si>
  <si>
    <t>Viviane Passos De Oliveira</t>
  </si>
  <si>
    <t>Tatiana Sousa Dos Santos Salgado</t>
  </si>
  <si>
    <t>Viviane Melo De Souza</t>
  </si>
  <si>
    <t>Camila Mota De Souza</t>
  </si>
  <si>
    <t>Nivea Inacia Epifanio</t>
  </si>
  <si>
    <t>Luisa Kasemiro</t>
  </si>
  <si>
    <t>Adriana A L Santos</t>
  </si>
  <si>
    <t>Aldo Cabral Da Silva</t>
  </si>
  <si>
    <t>Alexsandro Da Silva Cunha</t>
  </si>
  <si>
    <t>Aline Do Nascimento Barbosa</t>
  </si>
  <si>
    <t>Allan Jammel Soares Da Silva</t>
  </si>
  <si>
    <t>Andrea Guimarães Oliveira De Lima</t>
  </si>
  <si>
    <t xml:space="preserve">Andrea Paulo Da Cunha Pulici </t>
  </si>
  <si>
    <t>Andrezza Dos Santos Maia</t>
  </si>
  <si>
    <t>Angela Dias</t>
  </si>
  <si>
    <t>Bruno Ferreira De Oliveira</t>
  </si>
  <si>
    <t>Camilla Beatriz De Souza Ferreira</t>
  </si>
  <si>
    <t xml:space="preserve">Caroline Lima </t>
  </si>
  <si>
    <t>Claudia Dos Santos De Medeiros</t>
  </si>
  <si>
    <t>Daniela Bezerra De Menezes Uliana</t>
  </si>
  <si>
    <t>Edivaldo Silva Cavalcanti</t>
  </si>
  <si>
    <t>Elder Muniz Da Silva</t>
  </si>
  <si>
    <t>Erica Ferreira Peçanha</t>
  </si>
  <si>
    <t>Gabriel Da Silva Couto</t>
  </si>
  <si>
    <t>George Cruz</t>
  </si>
  <si>
    <t xml:space="preserve">Giselli Magalhães De Pinho </t>
  </si>
  <si>
    <t>Glaucesampaio@Gmail.Com</t>
  </si>
  <si>
    <t>Graziela Jasbick</t>
  </si>
  <si>
    <t>Luana De Lira Barbosa</t>
  </si>
  <si>
    <t>Luis Felipe Vasconcelos Dos Santos</t>
  </si>
  <si>
    <t>Marcelo José Sardinha Carvalhaes</t>
  </si>
  <si>
    <t>Matheus Ferreira De Souza</t>
  </si>
  <si>
    <t>Mauricio Nogueira</t>
  </si>
  <si>
    <t>Octávio Augusto Nascimento Rodrigues</t>
  </si>
  <si>
    <t>Sinval De Oliveira Filho</t>
  </si>
  <si>
    <t>Sunamita Cristiane Pacheco</t>
  </si>
  <si>
    <t>Vinicius Eduardo De Castro Sá</t>
  </si>
  <si>
    <t>Mirian De Barros F. Venancio</t>
  </si>
  <si>
    <t>Aghata Cristiny Rodrigues Da Silva</t>
  </si>
  <si>
    <t>Carla Eduarda Ferreira Rodrigues</t>
  </si>
  <si>
    <t>Carolina De Freitas</t>
  </si>
  <si>
    <t>Cristiane Fialho Coutinho Da Silva</t>
  </si>
  <si>
    <t>Isabella Schmitt Arruda Moreira</t>
  </si>
  <si>
    <t>Kelly Matta</t>
  </si>
  <si>
    <t>Pedro Luiz De Melo Amaral Filho</t>
  </si>
  <si>
    <t>Rodrigo Motta Pompeu</t>
  </si>
  <si>
    <t>Rodrigo Neves Soares</t>
  </si>
  <si>
    <t>Stephany Catão De Sousa</t>
  </si>
  <si>
    <t>Priscila Alves Fernandes De Oliveira</t>
  </si>
  <si>
    <t>Nathan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</si>
</sst>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0" xfId="2" applyAlignment="1">
      <alignment horizontal="center"/>
    </xf>
    <xf numFmtId="2" fontId="5" fillId="3" borderId="1" xfId="2" applyNumberFormat="1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 wrapText="1"/>
    </xf>
    <xf numFmtId="1" fontId="6" fillId="4" borderId="4" xfId="2" applyNumberFormat="1" applyFont="1" applyFill="1" applyBorder="1" applyAlignment="1">
      <alignment horizontal="center" vertical="center" wrapText="1"/>
    </xf>
    <xf numFmtId="2" fontId="7" fillId="5" borderId="5" xfId="2" applyNumberFormat="1" applyFont="1" applyFill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2" fontId="7" fillId="0" borderId="7" xfId="2" applyNumberFormat="1" applyFont="1" applyBorder="1" applyAlignment="1">
      <alignment horizontal="center" vertical="center"/>
    </xf>
    <xf numFmtId="2" fontId="7" fillId="0" borderId="7" xfId="2" applyNumberFormat="1" applyFont="1" applyBorder="1" applyAlignment="1" applyProtection="1">
      <alignment horizontal="center" vertical="center"/>
      <protection locked="0"/>
    </xf>
    <xf numFmtId="2" fontId="7" fillId="0" borderId="8" xfId="2" applyNumberFormat="1" applyFont="1" applyBorder="1" applyAlignment="1">
      <alignment horizontal="center" vertical="center"/>
    </xf>
    <xf numFmtId="2" fontId="7" fillId="6" borderId="5" xfId="2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2" fontId="8" fillId="7" borderId="10" xfId="2" applyNumberFormat="1" applyFont="1" applyFill="1" applyBorder="1" applyAlignment="1" applyProtection="1">
      <alignment horizontal="center" vertical="center"/>
      <protection locked="0"/>
    </xf>
    <xf numFmtId="2" fontId="7" fillId="0" borderId="10" xfId="2" applyNumberFormat="1" applyFont="1" applyBorder="1" applyAlignment="1" applyProtection="1">
      <alignment horizontal="center" vertical="center"/>
      <protection locked="0"/>
    </xf>
    <xf numFmtId="0" fontId="4" fillId="0" borderId="10" xfId="2" applyFont="1" applyBorder="1" applyAlignment="1" applyProtection="1">
      <alignment horizontal="center" vertical="center"/>
      <protection locked="0"/>
    </xf>
    <xf numFmtId="1" fontId="7" fillId="0" borderId="11" xfId="2" applyNumberFormat="1" applyFont="1" applyBorder="1" applyAlignment="1">
      <alignment horizontal="center" vertical="center"/>
    </xf>
    <xf numFmtId="9" fontId="3" fillId="0" borderId="0" xfId="1" applyFont="1" applyAlignment="1">
      <alignment horizontal="center"/>
    </xf>
    <xf numFmtId="2" fontId="7" fillId="0" borderId="11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 applyProtection="1">
      <alignment horizontal="center" vertical="center"/>
      <protection locked="0"/>
    </xf>
    <xf numFmtId="2" fontId="7" fillId="8" borderId="10" xfId="2" applyNumberFormat="1" applyFont="1" applyFill="1" applyBorder="1" applyAlignment="1">
      <alignment horizontal="center" vertical="center"/>
    </xf>
    <xf numFmtId="2" fontId="8" fillId="9" borderId="10" xfId="2" applyNumberFormat="1" applyFont="1" applyFill="1" applyBorder="1" applyAlignment="1" applyProtection="1">
      <alignment horizontal="center" vertical="center"/>
      <protection locked="0"/>
    </xf>
    <xf numFmtId="0" fontId="3" fillId="0" borderId="10" xfId="2" applyBorder="1" applyAlignment="1" applyProtection="1">
      <alignment horizontal="center"/>
      <protection locked="0"/>
    </xf>
    <xf numFmtId="0" fontId="3" fillId="0" borderId="11" xfId="2" applyBorder="1" applyAlignment="1">
      <alignment horizontal="center"/>
    </xf>
    <xf numFmtId="2" fontId="6" fillId="8" borderId="10" xfId="2" applyNumberFormat="1" applyFont="1" applyFill="1" applyBorder="1" applyAlignment="1" applyProtection="1">
      <alignment horizontal="center" vertical="center"/>
      <protection locked="0"/>
    </xf>
    <xf numFmtId="9" fontId="4" fillId="0" borderId="10" xfId="1" applyFont="1" applyBorder="1" applyAlignment="1" applyProtection="1">
      <alignment horizontal="center" vertical="center"/>
      <protection locked="0"/>
    </xf>
    <xf numFmtId="9" fontId="3" fillId="0" borderId="10" xfId="1" applyFont="1" applyBorder="1" applyAlignment="1" applyProtection="1">
      <alignment horizontal="center"/>
      <protection locked="0"/>
    </xf>
    <xf numFmtId="0" fontId="4" fillId="7" borderId="10" xfId="2" applyFont="1" applyFill="1" applyBorder="1" applyAlignment="1" applyProtection="1">
      <alignment horizontal="center" vertical="center"/>
      <protection locked="0"/>
    </xf>
    <xf numFmtId="0" fontId="3" fillId="0" borderId="10" xfId="2" applyBorder="1" applyAlignment="1" applyProtection="1">
      <alignment horizontal="center" vertical="center"/>
      <protection locked="0"/>
    </xf>
    <xf numFmtId="0" fontId="7" fillId="0" borderId="12" xfId="0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2" fontId="7" fillId="0" borderId="13" xfId="2" applyNumberFormat="1" applyFont="1" applyBorder="1" applyAlignment="1">
      <alignment horizontal="center" vertical="center"/>
    </xf>
    <xf numFmtId="0" fontId="3" fillId="0" borderId="13" xfId="2" applyBorder="1" applyAlignment="1" applyProtection="1">
      <alignment horizontal="center"/>
      <protection locked="0"/>
    </xf>
    <xf numFmtId="1" fontId="7" fillId="0" borderId="14" xfId="2" applyNumberFormat="1" applyFont="1" applyBorder="1" applyAlignment="1">
      <alignment horizontal="center" vertical="center"/>
    </xf>
    <xf numFmtId="0" fontId="9" fillId="0" borderId="0" xfId="3" applyAlignment="1">
      <alignment horizontal="center"/>
    </xf>
    <xf numFmtId="2" fontId="6" fillId="4" borderId="15" xfId="2" applyNumberFormat="1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 vertical="center" wrapText="1"/>
    </xf>
    <xf numFmtId="0" fontId="6" fillId="4" borderId="18" xfId="2" applyFont="1" applyFill="1" applyBorder="1" applyAlignment="1">
      <alignment horizontal="center" vertical="center" wrapText="1"/>
    </xf>
    <xf numFmtId="2" fontId="2" fillId="4" borderId="15" xfId="2" applyNumberFormat="1" applyFont="1" applyFill="1" applyBorder="1" applyAlignment="1">
      <alignment horizontal="center" vertical="center"/>
    </xf>
    <xf numFmtId="0" fontId="3" fillId="0" borderId="0" xfId="2" applyAlignment="1" applyProtection="1">
      <alignment horizontal="center" vertical="center"/>
      <protection locked="0"/>
    </xf>
    <xf numFmtId="0" fontId="3" fillId="0" borderId="0" xfId="2" applyAlignment="1" applyProtection="1">
      <alignment horizontal="center"/>
      <protection locked="0"/>
    </xf>
    <xf numFmtId="1" fontId="3" fillId="0" borderId="0" xfId="2" applyNumberFormat="1" applyAlignment="1">
      <alignment horizontal="center"/>
    </xf>
    <xf numFmtId="0" fontId="3" fillId="10" borderId="19" xfId="2" applyFill="1" applyBorder="1" applyAlignment="1">
      <alignment horizontal="center" vertical="center"/>
    </xf>
    <xf numFmtId="0" fontId="3" fillId="10" borderId="20" xfId="2" applyFill="1" applyBorder="1" applyAlignment="1">
      <alignment horizontal="center" vertical="center"/>
    </xf>
    <xf numFmtId="0" fontId="3" fillId="10" borderId="20" xfId="2" applyFill="1" applyBorder="1" applyAlignment="1">
      <alignment horizontal="center" vertical="center" wrapText="1"/>
    </xf>
    <xf numFmtId="0" fontId="3" fillId="10" borderId="21" xfId="2" applyFill="1" applyBorder="1" applyAlignment="1" applyProtection="1">
      <alignment horizontal="center" vertical="center" wrapText="1"/>
      <protection locked="0"/>
    </xf>
    <xf numFmtId="0" fontId="3" fillId="0" borderId="22" xfId="2" applyBorder="1" applyAlignment="1">
      <alignment horizontal="center" vertical="center"/>
    </xf>
    <xf numFmtId="0" fontId="3" fillId="0" borderId="23" xfId="2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9" fontId="3" fillId="0" borderId="11" xfId="1" applyFont="1" applyBorder="1" applyAlignment="1">
      <alignment horizontal="center" vertical="center"/>
    </xf>
    <xf numFmtId="0" fontId="3" fillId="0" borderId="25" xfId="2" applyBorder="1" applyAlignment="1">
      <alignment horizontal="center" vertical="center"/>
    </xf>
    <xf numFmtId="0" fontId="3" fillId="0" borderId="26" xfId="2" applyBorder="1" applyAlignment="1">
      <alignment horizontal="center" vertical="center"/>
    </xf>
    <xf numFmtId="9" fontId="3" fillId="0" borderId="27" xfId="1" applyFont="1" applyBorder="1" applyAlignment="1">
      <alignment horizontal="center" vertical="center"/>
    </xf>
    <xf numFmtId="0" fontId="3" fillId="10" borderId="19" xfId="2" applyFill="1" applyBorder="1" applyAlignment="1">
      <alignment horizontal="center" vertical="center"/>
    </xf>
    <xf numFmtId="0" fontId="3" fillId="10" borderId="20" xfId="2" applyFill="1" applyBorder="1" applyAlignment="1">
      <alignment horizontal="center" vertical="center"/>
    </xf>
    <xf numFmtId="1" fontId="3" fillId="10" borderId="21" xfId="2" applyNumberFormat="1" applyFill="1" applyBorder="1" applyAlignment="1" applyProtection="1">
      <alignment horizontal="center" vertical="center"/>
      <protection locked="0"/>
    </xf>
    <xf numFmtId="9" fontId="3" fillId="10" borderId="21" xfId="1" applyFont="1" applyFill="1" applyBorder="1" applyAlignment="1" applyProtection="1">
      <alignment horizontal="center" vertical="center"/>
      <protection locked="0"/>
    </xf>
    <xf numFmtId="0" fontId="4" fillId="2" borderId="28" xfId="2" applyFont="1" applyFill="1" applyBorder="1" applyAlignment="1">
      <alignment horizontal="center" vertical="center"/>
    </xf>
    <xf numFmtId="0" fontId="4" fillId="2" borderId="29" xfId="2" applyFont="1" applyFill="1" applyBorder="1" applyAlignment="1">
      <alignment horizontal="center" vertical="center"/>
    </xf>
    <xf numFmtId="0" fontId="4" fillId="2" borderId="30" xfId="2" applyFont="1" applyFill="1" applyBorder="1" applyAlignment="1">
      <alignment horizontal="center" vertical="center"/>
    </xf>
    <xf numFmtId="0" fontId="0" fillId="0" borderId="0" xfId="0" applyNumberFormat="1"/>
  </cellXfs>
  <cellStyles count="4">
    <cellStyle name="Hiperlink" xfId="3" builtinId="8"/>
    <cellStyle name="Normal" xfId="0" builtinId="0"/>
    <cellStyle name="Normal 2" xfId="2" xr:uid="{7DBBAD74-5314-4225-84D0-52A5C11EC426}"/>
    <cellStyle name="Porcentagem" xfId="1" builtinId="5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protection locked="1" hidden="0"/>
    </dxf>
    <dxf>
      <numFmt numFmtId="2" formatCode="0.00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bottom style="medium">
          <color indexed="64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1" hidden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ostas ao formulário 1-style" pivot="0" count="3" xr9:uid="{F9F6B2AA-E0D5-47D3-AED0-0DE6EF31FA0C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DMA\033%20-%20Gest&#227;o%20de%20Res&#237;duos\31%20-%20Projetos%20Ambientais\Recicla%20CEDAE\Pesagem%20Recicla%20Cedae.xlsx" TargetMode="External"/><Relationship Id="rId1" Type="http://schemas.openxmlformats.org/officeDocument/2006/relationships/externalLinkPath" Target="file:///J:\DMA\033%20-%20Gest&#227;o%20de%20Res&#237;duos\31%20-%20Projetos%20Ambientais\Recicla%20CEDAE\Pesagem%20Recicla%20Ceda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sagem ReciclaCEDAE"/>
      <sheetName val="Somatório e retirada brindes"/>
      <sheetName val="Dispersão TODOS"/>
      <sheetName val="Dispersão SEM OUTLIERS"/>
      <sheetName val="Ranking Top20"/>
      <sheetName val="Participação diretoria_mês"/>
      <sheetName val="Pesagem Imprimir"/>
      <sheetName val="Cadastro &amp; Somatório"/>
      <sheetName val="RegrasPontuação"/>
    </sheetNames>
    <sheetDataSet>
      <sheetData sheetId="0">
        <row r="5">
          <cell r="A5">
            <v>5</v>
          </cell>
          <cell r="D5">
            <v>0.6</v>
          </cell>
        </row>
        <row r="6">
          <cell r="A6">
            <v>17</v>
          </cell>
          <cell r="D6">
            <v>0.9</v>
          </cell>
        </row>
        <row r="7">
          <cell r="A7">
            <v>21</v>
          </cell>
          <cell r="D7">
            <v>2.8</v>
          </cell>
        </row>
        <row r="8">
          <cell r="A8">
            <v>23</v>
          </cell>
          <cell r="D8">
            <v>1.6</v>
          </cell>
        </row>
        <row r="9">
          <cell r="A9">
            <v>38</v>
          </cell>
          <cell r="D9">
            <v>3.5</v>
          </cell>
        </row>
        <row r="10">
          <cell r="A10">
            <v>52</v>
          </cell>
          <cell r="D10">
            <v>2.8</v>
          </cell>
        </row>
        <row r="11">
          <cell r="A11">
            <v>57</v>
          </cell>
          <cell r="D11">
            <v>0.9</v>
          </cell>
        </row>
        <row r="12">
          <cell r="A12">
            <v>60</v>
          </cell>
          <cell r="D12">
            <v>8</v>
          </cell>
        </row>
        <row r="13">
          <cell r="A13">
            <v>64</v>
          </cell>
          <cell r="D13">
            <v>2.8</v>
          </cell>
        </row>
        <row r="14">
          <cell r="A14">
            <v>87</v>
          </cell>
          <cell r="D14">
            <v>0.8</v>
          </cell>
        </row>
        <row r="15">
          <cell r="A15">
            <v>99</v>
          </cell>
          <cell r="D15">
            <v>1.6</v>
          </cell>
        </row>
        <row r="16">
          <cell r="A16">
            <v>52</v>
          </cell>
          <cell r="D16">
            <v>1.7</v>
          </cell>
        </row>
        <row r="17">
          <cell r="A17">
            <v>100</v>
          </cell>
          <cell r="D17">
            <v>2.7</v>
          </cell>
        </row>
        <row r="18">
          <cell r="A18">
            <v>5</v>
          </cell>
          <cell r="D18">
            <v>1.6</v>
          </cell>
        </row>
        <row r="19">
          <cell r="A19">
            <v>9</v>
          </cell>
          <cell r="D19">
            <v>2.2000000000000002</v>
          </cell>
        </row>
        <row r="20">
          <cell r="A20">
            <v>12</v>
          </cell>
          <cell r="D20">
            <v>1.1000000000000001</v>
          </cell>
        </row>
        <row r="21">
          <cell r="A21">
            <v>17</v>
          </cell>
          <cell r="D21">
            <v>0.8</v>
          </cell>
        </row>
        <row r="22">
          <cell r="A22">
            <v>23</v>
          </cell>
          <cell r="D22">
            <v>2.5</v>
          </cell>
        </row>
        <row r="23">
          <cell r="A23">
            <v>28</v>
          </cell>
          <cell r="D23">
            <v>3.1</v>
          </cell>
        </row>
        <row r="24">
          <cell r="A24">
            <v>29</v>
          </cell>
          <cell r="D24">
            <v>0.6</v>
          </cell>
        </row>
        <row r="25">
          <cell r="A25">
            <v>30</v>
          </cell>
          <cell r="D25">
            <v>2</v>
          </cell>
        </row>
        <row r="26">
          <cell r="A26">
            <v>38</v>
          </cell>
          <cell r="D26">
            <v>3.8</v>
          </cell>
        </row>
        <row r="27">
          <cell r="A27">
            <v>53</v>
          </cell>
          <cell r="D27">
            <v>10.5</v>
          </cell>
        </row>
        <row r="28">
          <cell r="A28">
            <v>57</v>
          </cell>
          <cell r="D28">
            <v>0.5</v>
          </cell>
        </row>
        <row r="29">
          <cell r="A29">
            <v>63</v>
          </cell>
          <cell r="D29">
            <v>2.8</v>
          </cell>
        </row>
        <row r="30">
          <cell r="A30">
            <v>70</v>
          </cell>
          <cell r="D30">
            <v>0.3</v>
          </cell>
        </row>
        <row r="31">
          <cell r="A31">
            <v>71</v>
          </cell>
          <cell r="D31">
            <v>0.7</v>
          </cell>
        </row>
        <row r="32">
          <cell r="A32">
            <v>80</v>
          </cell>
          <cell r="D32">
            <v>2.5</v>
          </cell>
        </row>
        <row r="33">
          <cell r="A33">
            <v>86</v>
          </cell>
          <cell r="D33">
            <v>1.4</v>
          </cell>
        </row>
        <row r="34">
          <cell r="A34">
            <v>87</v>
          </cell>
          <cell r="D34">
            <v>2.8</v>
          </cell>
        </row>
        <row r="35">
          <cell r="A35">
            <v>88</v>
          </cell>
          <cell r="D35">
            <v>1</v>
          </cell>
        </row>
        <row r="36">
          <cell r="A36">
            <v>92</v>
          </cell>
          <cell r="D36">
            <v>2</v>
          </cell>
        </row>
        <row r="37">
          <cell r="A37">
            <v>93</v>
          </cell>
          <cell r="D37">
            <v>0.6</v>
          </cell>
        </row>
        <row r="38">
          <cell r="A38">
            <v>99</v>
          </cell>
          <cell r="D38">
            <v>1.3</v>
          </cell>
        </row>
        <row r="39">
          <cell r="A39">
            <v>108</v>
          </cell>
          <cell r="D39">
            <v>1.6</v>
          </cell>
        </row>
        <row r="40">
          <cell r="A40">
            <v>109</v>
          </cell>
          <cell r="D40">
            <v>2.5</v>
          </cell>
        </row>
        <row r="41">
          <cell r="A41">
            <v>112</v>
          </cell>
          <cell r="D41">
            <v>1.7</v>
          </cell>
        </row>
        <row r="42">
          <cell r="A42">
            <v>113</v>
          </cell>
          <cell r="D42">
            <v>1.6</v>
          </cell>
        </row>
        <row r="43">
          <cell r="A43">
            <v>116</v>
          </cell>
          <cell r="D43">
            <v>5.3</v>
          </cell>
        </row>
        <row r="44">
          <cell r="A44">
            <v>118</v>
          </cell>
          <cell r="D44">
            <v>1.2</v>
          </cell>
        </row>
        <row r="45">
          <cell r="A45">
            <v>119</v>
          </cell>
          <cell r="D45">
            <v>2.2999999999999998</v>
          </cell>
        </row>
        <row r="46">
          <cell r="A46">
            <v>52</v>
          </cell>
          <cell r="D46">
            <v>1.6</v>
          </cell>
        </row>
        <row r="47">
          <cell r="A47">
            <v>9</v>
          </cell>
          <cell r="D47">
            <v>5.6</v>
          </cell>
        </row>
        <row r="48">
          <cell r="A48">
            <v>12</v>
          </cell>
          <cell r="D48">
            <v>0.6</v>
          </cell>
        </row>
        <row r="49">
          <cell r="A49">
            <v>17</v>
          </cell>
          <cell r="D49">
            <v>2.5</v>
          </cell>
        </row>
        <row r="50">
          <cell r="A50">
            <v>21</v>
          </cell>
          <cell r="D50">
            <v>3.3</v>
          </cell>
        </row>
        <row r="51">
          <cell r="A51">
            <v>23</v>
          </cell>
          <cell r="D51">
            <v>2.4</v>
          </cell>
        </row>
        <row r="52">
          <cell r="A52">
            <v>28</v>
          </cell>
          <cell r="D52">
            <v>1.2</v>
          </cell>
        </row>
        <row r="53">
          <cell r="A53">
            <v>29</v>
          </cell>
          <cell r="D53">
            <v>0.6</v>
          </cell>
        </row>
        <row r="54">
          <cell r="A54">
            <v>30</v>
          </cell>
          <cell r="D54">
            <v>2.8</v>
          </cell>
        </row>
        <row r="55">
          <cell r="A55">
            <v>33</v>
          </cell>
          <cell r="D55">
            <v>2.2000000000000002</v>
          </cell>
        </row>
        <row r="56">
          <cell r="A56">
            <v>35</v>
          </cell>
          <cell r="D56">
            <v>3.9</v>
          </cell>
        </row>
        <row r="57">
          <cell r="A57">
            <v>38</v>
          </cell>
          <cell r="D57">
            <v>2.8</v>
          </cell>
        </row>
        <row r="58">
          <cell r="A58">
            <v>52</v>
          </cell>
          <cell r="D58">
            <v>7.9</v>
          </cell>
        </row>
        <row r="59">
          <cell r="A59">
            <v>53</v>
          </cell>
          <cell r="D59">
            <v>17.399999999999999</v>
          </cell>
        </row>
        <row r="60">
          <cell r="A60">
            <v>55</v>
          </cell>
          <cell r="D60">
            <v>6.8</v>
          </cell>
        </row>
        <row r="61">
          <cell r="A61">
            <v>57</v>
          </cell>
          <cell r="D61">
            <v>0.6</v>
          </cell>
        </row>
        <row r="62">
          <cell r="A62">
            <v>60</v>
          </cell>
          <cell r="D62">
            <v>1.7</v>
          </cell>
        </row>
        <row r="63">
          <cell r="A63">
            <v>61</v>
          </cell>
          <cell r="D63">
            <v>9.9</v>
          </cell>
        </row>
        <row r="64">
          <cell r="A64">
            <v>63</v>
          </cell>
          <cell r="D64">
            <v>0.9</v>
          </cell>
        </row>
        <row r="65">
          <cell r="A65">
            <v>64</v>
          </cell>
          <cell r="D65">
            <v>1.9</v>
          </cell>
        </row>
        <row r="66">
          <cell r="A66">
            <v>70</v>
          </cell>
          <cell r="D66">
            <v>0.9</v>
          </cell>
        </row>
        <row r="67">
          <cell r="A67">
            <v>71</v>
          </cell>
          <cell r="D67">
            <v>0.6</v>
          </cell>
        </row>
        <row r="68">
          <cell r="A68">
            <v>77</v>
          </cell>
          <cell r="D68">
            <v>1.1000000000000001</v>
          </cell>
        </row>
        <row r="69">
          <cell r="A69">
            <v>80</v>
          </cell>
          <cell r="D69">
            <v>4.8</v>
          </cell>
        </row>
        <row r="70">
          <cell r="A70">
            <v>87</v>
          </cell>
          <cell r="D70">
            <v>1</v>
          </cell>
        </row>
        <row r="71">
          <cell r="A71">
            <v>88</v>
          </cell>
          <cell r="D71">
            <v>0.7</v>
          </cell>
        </row>
        <row r="72">
          <cell r="A72">
            <v>92</v>
          </cell>
          <cell r="D72">
            <v>1.3</v>
          </cell>
        </row>
        <row r="73">
          <cell r="A73">
            <v>93</v>
          </cell>
          <cell r="D73">
            <v>0.7</v>
          </cell>
        </row>
        <row r="74">
          <cell r="A74">
            <v>97</v>
          </cell>
          <cell r="D74">
            <v>3.7</v>
          </cell>
        </row>
        <row r="75">
          <cell r="A75">
            <v>99</v>
          </cell>
          <cell r="D75">
            <v>1.6</v>
          </cell>
        </row>
        <row r="76">
          <cell r="A76">
            <v>100</v>
          </cell>
          <cell r="D76">
            <v>1.3</v>
          </cell>
        </row>
        <row r="77">
          <cell r="A77">
            <v>106</v>
          </cell>
          <cell r="D77">
            <v>1.9</v>
          </cell>
        </row>
        <row r="78">
          <cell r="A78">
            <v>108</v>
          </cell>
          <cell r="D78">
            <v>2.1</v>
          </cell>
        </row>
        <row r="79">
          <cell r="A79">
            <v>109</v>
          </cell>
          <cell r="D79">
            <v>1.9</v>
          </cell>
        </row>
        <row r="80">
          <cell r="A80">
            <v>112</v>
          </cell>
          <cell r="D80">
            <v>5.7</v>
          </cell>
        </row>
        <row r="81">
          <cell r="A81">
            <v>113</v>
          </cell>
          <cell r="D81">
            <v>1.7</v>
          </cell>
        </row>
        <row r="82">
          <cell r="A82">
            <v>116</v>
          </cell>
          <cell r="D82">
            <v>4.1000000000000005</v>
          </cell>
        </row>
        <row r="83">
          <cell r="A83">
            <v>117</v>
          </cell>
          <cell r="D83">
            <v>3.6</v>
          </cell>
        </row>
        <row r="84">
          <cell r="A84">
            <v>118</v>
          </cell>
          <cell r="D84">
            <v>5.4</v>
          </cell>
        </row>
        <row r="85">
          <cell r="A85">
            <v>119</v>
          </cell>
          <cell r="D85">
            <v>4.7</v>
          </cell>
        </row>
        <row r="86">
          <cell r="A86">
            <v>120</v>
          </cell>
          <cell r="D86">
            <v>0.4</v>
          </cell>
        </row>
        <row r="87">
          <cell r="A87">
            <v>121</v>
          </cell>
          <cell r="D87">
            <v>1.7</v>
          </cell>
        </row>
        <row r="88">
          <cell r="A88">
            <v>122</v>
          </cell>
          <cell r="D88">
            <v>0.9</v>
          </cell>
        </row>
        <row r="89">
          <cell r="A89">
            <v>132</v>
          </cell>
          <cell r="D89">
            <v>1.1000000000000001</v>
          </cell>
        </row>
        <row r="90">
          <cell r="A90">
            <v>137</v>
          </cell>
          <cell r="D90">
            <v>0.7</v>
          </cell>
        </row>
        <row r="91">
          <cell r="A91">
            <v>140</v>
          </cell>
          <cell r="D91">
            <v>2.5</v>
          </cell>
        </row>
        <row r="92">
          <cell r="A92">
            <v>146</v>
          </cell>
          <cell r="D92">
            <v>0.4</v>
          </cell>
        </row>
        <row r="93">
          <cell r="A93">
            <v>147</v>
          </cell>
          <cell r="D93">
            <v>2.1</v>
          </cell>
        </row>
        <row r="94">
          <cell r="A94">
            <v>156</v>
          </cell>
          <cell r="D94">
            <v>0.8</v>
          </cell>
        </row>
        <row r="95">
          <cell r="A95">
            <v>2</v>
          </cell>
          <cell r="D95">
            <v>0.7</v>
          </cell>
        </row>
        <row r="96">
          <cell r="A96">
            <v>5</v>
          </cell>
          <cell r="D96">
            <v>4.0999999999999996</v>
          </cell>
        </row>
        <row r="97">
          <cell r="A97">
            <v>17</v>
          </cell>
          <cell r="D97">
            <v>0.2</v>
          </cell>
        </row>
        <row r="98">
          <cell r="A98">
            <v>23</v>
          </cell>
          <cell r="D98">
            <v>1.4</v>
          </cell>
        </row>
        <row r="99">
          <cell r="A99">
            <v>28</v>
          </cell>
          <cell r="D99">
            <v>1</v>
          </cell>
        </row>
        <row r="100">
          <cell r="A100">
            <v>29</v>
          </cell>
          <cell r="D100">
            <v>0.9</v>
          </cell>
        </row>
        <row r="101">
          <cell r="A101">
            <v>30</v>
          </cell>
          <cell r="D101">
            <v>1.7</v>
          </cell>
        </row>
        <row r="102">
          <cell r="A102">
            <v>38</v>
          </cell>
          <cell r="D102">
            <v>4.9000000000000004</v>
          </cell>
        </row>
        <row r="103">
          <cell r="A103">
            <v>53</v>
          </cell>
          <cell r="D103">
            <v>8.6</v>
          </cell>
        </row>
        <row r="104">
          <cell r="A104">
            <v>55</v>
          </cell>
          <cell r="D104">
            <v>2.8</v>
          </cell>
        </row>
        <row r="105">
          <cell r="A105">
            <v>60</v>
          </cell>
          <cell r="D105">
            <v>0.9</v>
          </cell>
        </row>
        <row r="106">
          <cell r="A106">
            <v>61</v>
          </cell>
          <cell r="D106">
            <v>4.8</v>
          </cell>
        </row>
        <row r="107">
          <cell r="A107">
            <v>70</v>
          </cell>
          <cell r="D107">
            <v>1.9</v>
          </cell>
        </row>
        <row r="108">
          <cell r="A108">
            <v>70</v>
          </cell>
          <cell r="D108">
            <v>0.6</v>
          </cell>
        </row>
        <row r="109">
          <cell r="A109">
            <v>71</v>
          </cell>
          <cell r="D109">
            <v>1</v>
          </cell>
        </row>
        <row r="110">
          <cell r="A110">
            <v>77</v>
          </cell>
          <cell r="D110">
            <v>1.5</v>
          </cell>
        </row>
        <row r="111">
          <cell r="A111">
            <v>80</v>
          </cell>
          <cell r="D111">
            <v>2.2000000000000002</v>
          </cell>
        </row>
        <row r="112">
          <cell r="A112">
            <v>86</v>
          </cell>
          <cell r="D112">
            <v>1</v>
          </cell>
        </row>
        <row r="113">
          <cell r="A113">
            <v>87</v>
          </cell>
          <cell r="D113">
            <v>0.3</v>
          </cell>
        </row>
        <row r="114">
          <cell r="A114">
            <v>88</v>
          </cell>
          <cell r="D114">
            <v>0.9</v>
          </cell>
        </row>
        <row r="115">
          <cell r="A115">
            <v>92</v>
          </cell>
          <cell r="D115">
            <v>0.9</v>
          </cell>
        </row>
        <row r="116">
          <cell r="A116">
            <v>93</v>
          </cell>
          <cell r="D116">
            <v>0.3</v>
          </cell>
        </row>
        <row r="117">
          <cell r="A117">
            <v>97</v>
          </cell>
          <cell r="D117">
            <v>1</v>
          </cell>
        </row>
        <row r="118">
          <cell r="A118">
            <v>99</v>
          </cell>
          <cell r="D118">
            <v>1</v>
          </cell>
        </row>
        <row r="119">
          <cell r="A119">
            <v>106</v>
          </cell>
          <cell r="D119">
            <v>0.9</v>
          </cell>
        </row>
        <row r="120">
          <cell r="A120">
            <v>107</v>
          </cell>
          <cell r="D120">
            <v>1.6</v>
          </cell>
        </row>
        <row r="121">
          <cell r="A121">
            <v>109</v>
          </cell>
          <cell r="D121">
            <v>0.6</v>
          </cell>
        </row>
        <row r="122">
          <cell r="A122">
            <v>110</v>
          </cell>
          <cell r="D122">
            <v>1.8</v>
          </cell>
        </row>
        <row r="123">
          <cell r="A123">
            <v>112</v>
          </cell>
          <cell r="D123">
            <v>6.2</v>
          </cell>
        </row>
        <row r="124">
          <cell r="A124">
            <v>113</v>
          </cell>
          <cell r="D124">
            <v>1.6</v>
          </cell>
        </row>
        <row r="125">
          <cell r="A125">
            <v>116</v>
          </cell>
          <cell r="D125">
            <v>2.1</v>
          </cell>
        </row>
        <row r="126">
          <cell r="A126">
            <v>117</v>
          </cell>
          <cell r="D126">
            <v>4.4000000000000004</v>
          </cell>
        </row>
        <row r="127">
          <cell r="A127">
            <v>118</v>
          </cell>
          <cell r="D127">
            <v>1.2</v>
          </cell>
        </row>
        <row r="128">
          <cell r="A128">
            <v>119</v>
          </cell>
          <cell r="D128">
            <v>5.4</v>
          </cell>
        </row>
        <row r="129">
          <cell r="A129">
            <v>120</v>
          </cell>
          <cell r="D129">
            <v>11.2</v>
          </cell>
        </row>
        <row r="130">
          <cell r="A130">
            <v>123</v>
          </cell>
          <cell r="D130">
            <v>0.4</v>
          </cell>
        </row>
        <row r="131">
          <cell r="A131">
            <v>126</v>
          </cell>
          <cell r="D131">
            <v>1.6</v>
          </cell>
        </row>
        <row r="132">
          <cell r="A132">
            <v>132</v>
          </cell>
          <cell r="D132">
            <v>0.7</v>
          </cell>
        </row>
        <row r="133">
          <cell r="A133">
            <v>133</v>
          </cell>
          <cell r="D133">
            <v>5</v>
          </cell>
        </row>
        <row r="134">
          <cell r="A134">
            <v>137</v>
          </cell>
          <cell r="D134">
            <v>0.9</v>
          </cell>
        </row>
        <row r="135">
          <cell r="A135">
            <v>140</v>
          </cell>
          <cell r="D135">
            <v>6</v>
          </cell>
        </row>
        <row r="136">
          <cell r="A136">
            <v>146</v>
          </cell>
          <cell r="D136">
            <v>0.5</v>
          </cell>
        </row>
        <row r="137">
          <cell r="A137">
            <v>147</v>
          </cell>
          <cell r="D137">
            <v>1.3</v>
          </cell>
        </row>
        <row r="138">
          <cell r="A138">
            <v>155</v>
          </cell>
          <cell r="D138">
            <v>2.7</v>
          </cell>
        </row>
        <row r="139">
          <cell r="A139">
            <v>2</v>
          </cell>
          <cell r="D139">
            <v>1.2</v>
          </cell>
        </row>
        <row r="140">
          <cell r="A140">
            <v>4</v>
          </cell>
          <cell r="D140">
            <v>3.2</v>
          </cell>
        </row>
        <row r="141">
          <cell r="A141">
            <v>5</v>
          </cell>
          <cell r="D141">
            <v>1.9</v>
          </cell>
        </row>
        <row r="142">
          <cell r="A142">
            <v>12</v>
          </cell>
          <cell r="D142">
            <v>1</v>
          </cell>
        </row>
        <row r="143">
          <cell r="A143">
            <v>17</v>
          </cell>
          <cell r="D143">
            <v>2.7</v>
          </cell>
        </row>
        <row r="144">
          <cell r="A144">
            <v>21</v>
          </cell>
          <cell r="D144">
            <v>4.3</v>
          </cell>
        </row>
        <row r="145">
          <cell r="A145">
            <v>23</v>
          </cell>
          <cell r="D145">
            <v>0.7</v>
          </cell>
        </row>
        <row r="146">
          <cell r="A146">
            <v>28</v>
          </cell>
          <cell r="D146">
            <v>1.6</v>
          </cell>
        </row>
        <row r="147">
          <cell r="A147">
            <v>29</v>
          </cell>
          <cell r="D147">
            <v>1.2</v>
          </cell>
        </row>
        <row r="148">
          <cell r="A148">
            <v>30</v>
          </cell>
          <cell r="D148">
            <v>2.6</v>
          </cell>
        </row>
        <row r="149">
          <cell r="A149">
            <v>38</v>
          </cell>
          <cell r="D149">
            <v>3.4009999999999998</v>
          </cell>
        </row>
        <row r="150">
          <cell r="A150">
            <v>43</v>
          </cell>
          <cell r="D150">
            <v>0.3</v>
          </cell>
        </row>
        <row r="151">
          <cell r="A151">
            <v>53</v>
          </cell>
          <cell r="D151">
            <v>9.8000000000000007</v>
          </cell>
        </row>
        <row r="152">
          <cell r="A152">
            <v>55</v>
          </cell>
          <cell r="D152">
            <v>2.2999999999999998</v>
          </cell>
        </row>
        <row r="153">
          <cell r="A153">
            <v>57</v>
          </cell>
          <cell r="D153">
            <v>0.6</v>
          </cell>
        </row>
        <row r="154">
          <cell r="A154">
            <v>57</v>
          </cell>
          <cell r="D154">
            <v>0.7</v>
          </cell>
        </row>
        <row r="155">
          <cell r="A155">
            <v>60</v>
          </cell>
          <cell r="D155">
            <v>4</v>
          </cell>
        </row>
        <row r="156">
          <cell r="A156">
            <v>61</v>
          </cell>
          <cell r="D156">
            <v>16.3</v>
          </cell>
        </row>
        <row r="157">
          <cell r="A157">
            <v>63</v>
          </cell>
          <cell r="D157">
            <v>0.3</v>
          </cell>
        </row>
        <row r="158">
          <cell r="A158">
            <v>70</v>
          </cell>
          <cell r="D158">
            <v>3.5</v>
          </cell>
        </row>
        <row r="159">
          <cell r="A159">
            <v>71</v>
          </cell>
          <cell r="D159">
            <v>1.3</v>
          </cell>
        </row>
        <row r="160">
          <cell r="A160">
            <v>77</v>
          </cell>
          <cell r="D160">
            <v>0.7</v>
          </cell>
        </row>
        <row r="161">
          <cell r="A161">
            <v>79</v>
          </cell>
          <cell r="D161">
            <v>1.5</v>
          </cell>
        </row>
        <row r="162">
          <cell r="A162">
            <v>81</v>
          </cell>
          <cell r="D162">
            <v>0.2</v>
          </cell>
        </row>
        <row r="163">
          <cell r="A163">
            <v>87</v>
          </cell>
          <cell r="D163">
            <v>1</v>
          </cell>
        </row>
        <row r="164">
          <cell r="A164">
            <v>88</v>
          </cell>
          <cell r="D164">
            <v>1.9</v>
          </cell>
        </row>
        <row r="165">
          <cell r="A165">
            <v>92</v>
          </cell>
          <cell r="D165">
            <v>1</v>
          </cell>
        </row>
        <row r="166">
          <cell r="A166">
            <v>97</v>
          </cell>
          <cell r="D166">
            <v>1.4</v>
          </cell>
        </row>
        <row r="167">
          <cell r="A167">
            <v>99</v>
          </cell>
          <cell r="D167">
            <v>3.2</v>
          </cell>
        </row>
        <row r="168">
          <cell r="A168">
            <v>107</v>
          </cell>
          <cell r="D168">
            <v>1.6</v>
          </cell>
        </row>
        <row r="169">
          <cell r="A169">
            <v>109</v>
          </cell>
          <cell r="D169">
            <v>1.4</v>
          </cell>
        </row>
        <row r="170">
          <cell r="A170">
            <v>112</v>
          </cell>
          <cell r="D170">
            <v>6</v>
          </cell>
        </row>
        <row r="171">
          <cell r="A171">
            <v>113</v>
          </cell>
          <cell r="D171">
            <v>1</v>
          </cell>
        </row>
        <row r="172">
          <cell r="A172">
            <v>116</v>
          </cell>
          <cell r="D172">
            <v>3.5</v>
          </cell>
        </row>
        <row r="173">
          <cell r="A173">
            <v>116</v>
          </cell>
          <cell r="D173">
            <v>3.5</v>
          </cell>
        </row>
        <row r="174">
          <cell r="A174">
            <v>118</v>
          </cell>
          <cell r="D174">
            <v>2</v>
          </cell>
        </row>
        <row r="175">
          <cell r="A175">
            <v>119</v>
          </cell>
          <cell r="D175">
            <v>6.5</v>
          </cell>
        </row>
        <row r="176">
          <cell r="A176">
            <v>121</v>
          </cell>
          <cell r="D176">
            <v>2.1</v>
          </cell>
        </row>
        <row r="177">
          <cell r="A177">
            <v>122</v>
          </cell>
          <cell r="D177">
            <v>1.2</v>
          </cell>
        </row>
        <row r="178">
          <cell r="A178">
            <v>132</v>
          </cell>
          <cell r="D178">
            <v>0.7</v>
          </cell>
        </row>
        <row r="179">
          <cell r="A179">
            <v>133</v>
          </cell>
          <cell r="D179">
            <v>5.2</v>
          </cell>
        </row>
        <row r="180">
          <cell r="A180">
            <v>137</v>
          </cell>
          <cell r="D180">
            <v>0.4</v>
          </cell>
        </row>
        <row r="181">
          <cell r="A181">
            <v>140</v>
          </cell>
          <cell r="D181">
            <v>5.4</v>
          </cell>
        </row>
        <row r="182">
          <cell r="A182">
            <v>144</v>
          </cell>
          <cell r="D182">
            <v>1.3</v>
          </cell>
        </row>
        <row r="183">
          <cell r="A183">
            <v>147</v>
          </cell>
          <cell r="D183">
            <v>3.9</v>
          </cell>
        </row>
        <row r="184">
          <cell r="A184">
            <v>155</v>
          </cell>
          <cell r="D184">
            <v>4.8</v>
          </cell>
        </row>
        <row r="185">
          <cell r="A185">
            <v>156</v>
          </cell>
          <cell r="D185">
            <v>1.8</v>
          </cell>
        </row>
        <row r="186">
          <cell r="A186">
            <v>4</v>
          </cell>
          <cell r="D186">
            <v>2.8</v>
          </cell>
        </row>
        <row r="187">
          <cell r="A187">
            <v>5</v>
          </cell>
          <cell r="D187">
            <v>0.9</v>
          </cell>
        </row>
        <row r="188">
          <cell r="A188">
            <v>12</v>
          </cell>
          <cell r="D188">
            <v>1.7</v>
          </cell>
        </row>
        <row r="189">
          <cell r="A189">
            <v>17</v>
          </cell>
          <cell r="D189">
            <v>0.9</v>
          </cell>
        </row>
        <row r="190">
          <cell r="A190">
            <v>21</v>
          </cell>
          <cell r="D190">
            <v>5.6</v>
          </cell>
        </row>
        <row r="191">
          <cell r="A191">
            <v>23</v>
          </cell>
          <cell r="D191">
            <v>0.7</v>
          </cell>
        </row>
        <row r="192">
          <cell r="A192">
            <v>28</v>
          </cell>
          <cell r="D192">
            <v>2.2000000000000002</v>
          </cell>
        </row>
        <row r="193">
          <cell r="A193">
            <v>29</v>
          </cell>
          <cell r="D193">
            <v>2.2999999999999998</v>
          </cell>
        </row>
        <row r="194">
          <cell r="A194">
            <v>30</v>
          </cell>
          <cell r="D194">
            <v>3.3</v>
          </cell>
        </row>
        <row r="195">
          <cell r="A195">
            <v>35</v>
          </cell>
          <cell r="D195">
            <v>6.4</v>
          </cell>
        </row>
        <row r="196">
          <cell r="A196">
            <v>37</v>
          </cell>
          <cell r="D196">
            <v>3.7</v>
          </cell>
        </row>
        <row r="197">
          <cell r="A197">
            <v>38</v>
          </cell>
          <cell r="D197">
            <v>3.2</v>
          </cell>
        </row>
        <row r="198">
          <cell r="A198">
            <v>52</v>
          </cell>
          <cell r="D198">
            <v>10.9</v>
          </cell>
        </row>
        <row r="199">
          <cell r="A199">
            <v>53</v>
          </cell>
          <cell r="D199">
            <v>15.3</v>
          </cell>
        </row>
        <row r="200">
          <cell r="A200">
            <v>55</v>
          </cell>
          <cell r="D200">
            <v>5</v>
          </cell>
        </row>
        <row r="201">
          <cell r="A201">
            <v>58</v>
          </cell>
          <cell r="D201">
            <v>3.2</v>
          </cell>
        </row>
        <row r="202">
          <cell r="A202">
            <v>60</v>
          </cell>
          <cell r="D202">
            <v>1.6</v>
          </cell>
        </row>
        <row r="203">
          <cell r="A203">
            <v>61</v>
          </cell>
          <cell r="D203">
            <v>6.5</v>
          </cell>
        </row>
        <row r="204">
          <cell r="A204">
            <v>63</v>
          </cell>
          <cell r="D204">
            <v>1.3</v>
          </cell>
        </row>
        <row r="205">
          <cell r="A205">
            <v>67</v>
          </cell>
          <cell r="D205">
            <v>2</v>
          </cell>
        </row>
        <row r="206">
          <cell r="A206">
            <v>70</v>
          </cell>
          <cell r="D206">
            <v>1.3</v>
          </cell>
        </row>
        <row r="207">
          <cell r="A207">
            <v>71</v>
          </cell>
          <cell r="D207">
            <v>0.5</v>
          </cell>
        </row>
        <row r="208">
          <cell r="A208">
            <v>77</v>
          </cell>
          <cell r="D208">
            <v>1.6</v>
          </cell>
        </row>
        <row r="209">
          <cell r="A209">
            <v>80</v>
          </cell>
          <cell r="D209">
            <v>2.2999999999999998</v>
          </cell>
        </row>
        <row r="210">
          <cell r="A210">
            <v>81</v>
          </cell>
          <cell r="D210">
            <v>0.2</v>
          </cell>
        </row>
        <row r="211">
          <cell r="A211">
            <v>86</v>
          </cell>
          <cell r="D211">
            <v>1</v>
          </cell>
        </row>
        <row r="212">
          <cell r="A212">
            <v>87</v>
          </cell>
          <cell r="D212">
            <v>1</v>
          </cell>
        </row>
        <row r="213">
          <cell r="A213">
            <v>88</v>
          </cell>
          <cell r="D213">
            <v>0.2</v>
          </cell>
        </row>
        <row r="214">
          <cell r="A214">
            <v>88</v>
          </cell>
          <cell r="D214">
            <v>1.9</v>
          </cell>
        </row>
        <row r="215">
          <cell r="A215">
            <v>92</v>
          </cell>
          <cell r="D215">
            <v>1</v>
          </cell>
        </row>
        <row r="216">
          <cell r="A216">
            <v>93</v>
          </cell>
          <cell r="D216">
            <v>0.8</v>
          </cell>
        </row>
        <row r="217">
          <cell r="A217">
            <v>97</v>
          </cell>
          <cell r="D217">
            <v>3.5</v>
          </cell>
        </row>
        <row r="218">
          <cell r="A218">
            <v>99</v>
          </cell>
          <cell r="D218">
            <v>5.7</v>
          </cell>
        </row>
        <row r="219">
          <cell r="A219">
            <v>100</v>
          </cell>
          <cell r="D219">
            <v>5.7</v>
          </cell>
        </row>
        <row r="220">
          <cell r="A220">
            <v>108</v>
          </cell>
          <cell r="D220">
            <v>2.6</v>
          </cell>
        </row>
        <row r="221">
          <cell r="A221">
            <v>109</v>
          </cell>
          <cell r="D221">
            <v>1.4</v>
          </cell>
        </row>
        <row r="222">
          <cell r="A222">
            <v>112</v>
          </cell>
          <cell r="D222">
            <v>5.6</v>
          </cell>
        </row>
        <row r="223">
          <cell r="A223">
            <v>113</v>
          </cell>
          <cell r="D223">
            <v>1.3</v>
          </cell>
        </row>
        <row r="224">
          <cell r="A224">
            <v>116</v>
          </cell>
          <cell r="D224">
            <v>11.5</v>
          </cell>
        </row>
        <row r="225">
          <cell r="A225">
            <v>117</v>
          </cell>
          <cell r="D225">
            <v>6.4</v>
          </cell>
        </row>
        <row r="226">
          <cell r="A226">
            <v>119</v>
          </cell>
          <cell r="D226">
            <v>2.7</v>
          </cell>
        </row>
        <row r="227">
          <cell r="A227">
            <v>123</v>
          </cell>
          <cell r="D227">
            <v>1.1000000000000001</v>
          </cell>
        </row>
        <row r="228">
          <cell r="A228">
            <v>123</v>
          </cell>
          <cell r="D228">
            <v>0.6</v>
          </cell>
        </row>
        <row r="229">
          <cell r="A229">
            <v>131</v>
          </cell>
          <cell r="D229">
            <v>3.8</v>
          </cell>
        </row>
        <row r="230">
          <cell r="A230">
            <v>132</v>
          </cell>
          <cell r="D230">
            <v>0.8</v>
          </cell>
        </row>
        <row r="231">
          <cell r="A231">
            <v>132</v>
          </cell>
          <cell r="D231">
            <v>0.9</v>
          </cell>
        </row>
        <row r="232">
          <cell r="A232">
            <v>133</v>
          </cell>
          <cell r="D232">
            <v>2.7</v>
          </cell>
        </row>
        <row r="233">
          <cell r="A233">
            <v>137</v>
          </cell>
          <cell r="D233">
            <v>0.5</v>
          </cell>
        </row>
        <row r="234">
          <cell r="A234">
            <v>140</v>
          </cell>
          <cell r="D234">
            <v>2.8</v>
          </cell>
        </row>
        <row r="235">
          <cell r="A235">
            <v>144</v>
          </cell>
          <cell r="D235">
            <v>1.2</v>
          </cell>
        </row>
        <row r="236">
          <cell r="A236">
            <v>146</v>
          </cell>
          <cell r="D236">
            <v>0.9</v>
          </cell>
        </row>
        <row r="237">
          <cell r="A237">
            <v>147</v>
          </cell>
          <cell r="D237">
            <v>2</v>
          </cell>
        </row>
        <row r="238">
          <cell r="A238">
            <v>156</v>
          </cell>
          <cell r="D238">
            <v>1.3</v>
          </cell>
        </row>
        <row r="239">
          <cell r="A239">
            <v>2</v>
          </cell>
          <cell r="D239">
            <v>1.5</v>
          </cell>
        </row>
        <row r="240">
          <cell r="A240">
            <v>4</v>
          </cell>
          <cell r="D240">
            <v>1.8</v>
          </cell>
        </row>
        <row r="241">
          <cell r="A241">
            <v>5</v>
          </cell>
          <cell r="D241">
            <v>0.7</v>
          </cell>
        </row>
        <row r="242">
          <cell r="A242">
            <v>9</v>
          </cell>
          <cell r="D242">
            <v>6.4</v>
          </cell>
        </row>
        <row r="243">
          <cell r="A243">
            <v>17</v>
          </cell>
          <cell r="D243">
            <v>1.2</v>
          </cell>
        </row>
        <row r="244">
          <cell r="A244">
            <v>21</v>
          </cell>
          <cell r="D244">
            <v>4.7</v>
          </cell>
        </row>
        <row r="245">
          <cell r="A245">
            <v>23</v>
          </cell>
          <cell r="D245">
            <v>0.5</v>
          </cell>
        </row>
        <row r="246">
          <cell r="A246">
            <v>28</v>
          </cell>
          <cell r="D246">
            <v>2.2999999999999998</v>
          </cell>
        </row>
        <row r="247">
          <cell r="A247">
            <v>29</v>
          </cell>
          <cell r="D247">
            <v>1.7</v>
          </cell>
        </row>
        <row r="248">
          <cell r="A248">
            <v>30</v>
          </cell>
          <cell r="D248">
            <v>3</v>
          </cell>
        </row>
        <row r="249">
          <cell r="A249">
            <v>33</v>
          </cell>
          <cell r="D249">
            <v>1.3</v>
          </cell>
        </row>
        <row r="250">
          <cell r="A250">
            <v>35</v>
          </cell>
          <cell r="D250">
            <v>4.9000000000000004</v>
          </cell>
        </row>
        <row r="251">
          <cell r="A251">
            <v>38</v>
          </cell>
          <cell r="D251">
            <v>3.7</v>
          </cell>
        </row>
        <row r="252">
          <cell r="A252">
            <v>53</v>
          </cell>
          <cell r="D252">
            <v>2.6</v>
          </cell>
        </row>
        <row r="253">
          <cell r="A253">
            <v>55</v>
          </cell>
          <cell r="D253">
            <v>4.2</v>
          </cell>
        </row>
        <row r="254">
          <cell r="A254">
            <v>57</v>
          </cell>
          <cell r="D254">
            <v>0.8</v>
          </cell>
        </row>
        <row r="255">
          <cell r="A255">
            <v>61</v>
          </cell>
          <cell r="D255">
            <v>57.2</v>
          </cell>
        </row>
        <row r="256">
          <cell r="A256">
            <v>63</v>
          </cell>
          <cell r="D256">
            <v>0.9</v>
          </cell>
        </row>
        <row r="257">
          <cell r="A257">
            <v>70</v>
          </cell>
          <cell r="D257">
            <v>2.8</v>
          </cell>
        </row>
        <row r="258">
          <cell r="A258">
            <v>71</v>
          </cell>
          <cell r="D258">
            <v>3.9</v>
          </cell>
        </row>
        <row r="259">
          <cell r="A259">
            <v>81</v>
          </cell>
          <cell r="D259">
            <v>3.6</v>
          </cell>
        </row>
        <row r="260">
          <cell r="A260">
            <v>82</v>
          </cell>
          <cell r="D260">
            <v>3.1</v>
          </cell>
        </row>
        <row r="261">
          <cell r="A261">
            <v>86</v>
          </cell>
          <cell r="D261">
            <v>0.4</v>
          </cell>
        </row>
        <row r="262">
          <cell r="A262">
            <v>88</v>
          </cell>
          <cell r="D262">
            <v>2.4</v>
          </cell>
        </row>
        <row r="263">
          <cell r="A263">
            <v>92</v>
          </cell>
          <cell r="D263">
            <v>1.3</v>
          </cell>
        </row>
        <row r="264">
          <cell r="A264">
            <v>97</v>
          </cell>
          <cell r="D264">
            <v>0.6</v>
          </cell>
        </row>
        <row r="265">
          <cell r="A265">
            <v>99</v>
          </cell>
          <cell r="D265">
            <v>6.1</v>
          </cell>
        </row>
        <row r="266">
          <cell r="A266">
            <v>100</v>
          </cell>
          <cell r="D266">
            <v>7.8</v>
          </cell>
        </row>
        <row r="267">
          <cell r="A267">
            <v>107</v>
          </cell>
          <cell r="D267">
            <v>12.6</v>
          </cell>
        </row>
        <row r="268">
          <cell r="A268">
            <v>109</v>
          </cell>
          <cell r="D268">
            <v>0.7</v>
          </cell>
        </row>
        <row r="269">
          <cell r="A269">
            <v>112</v>
          </cell>
          <cell r="D269">
            <v>5.5</v>
          </cell>
        </row>
        <row r="270">
          <cell r="A270">
            <v>113</v>
          </cell>
          <cell r="D270">
            <v>2.2000000000000002</v>
          </cell>
        </row>
        <row r="271">
          <cell r="A271">
            <v>114</v>
          </cell>
          <cell r="D271">
            <v>7.9</v>
          </cell>
        </row>
        <row r="272">
          <cell r="A272">
            <v>116</v>
          </cell>
          <cell r="D272">
            <v>8.4</v>
          </cell>
        </row>
        <row r="273">
          <cell r="A273">
            <v>116</v>
          </cell>
          <cell r="D273">
            <v>4.4000000000000004</v>
          </cell>
        </row>
        <row r="274">
          <cell r="A274">
            <v>117</v>
          </cell>
          <cell r="D274">
            <v>0.2</v>
          </cell>
        </row>
        <row r="275">
          <cell r="A275">
            <v>117</v>
          </cell>
          <cell r="D275">
            <v>4.2</v>
          </cell>
        </row>
        <row r="276">
          <cell r="A276">
            <v>118</v>
          </cell>
          <cell r="D276">
            <v>2.9</v>
          </cell>
        </row>
        <row r="277">
          <cell r="A277">
            <v>119</v>
          </cell>
          <cell r="D277">
            <v>6.9</v>
          </cell>
        </row>
        <row r="278">
          <cell r="A278">
            <v>120</v>
          </cell>
          <cell r="D278">
            <v>1.8</v>
          </cell>
        </row>
        <row r="279">
          <cell r="A279">
            <v>121</v>
          </cell>
          <cell r="D279">
            <v>2.6</v>
          </cell>
        </row>
        <row r="280">
          <cell r="A280">
            <v>122</v>
          </cell>
          <cell r="D280">
            <v>1.6</v>
          </cell>
        </row>
        <row r="281">
          <cell r="A281">
            <v>123</v>
          </cell>
          <cell r="D281">
            <v>0.4</v>
          </cell>
        </row>
        <row r="282">
          <cell r="A282">
            <v>132</v>
          </cell>
          <cell r="D282">
            <v>2.7</v>
          </cell>
        </row>
        <row r="283">
          <cell r="A283">
            <v>133</v>
          </cell>
          <cell r="D283">
            <v>4.8</v>
          </cell>
        </row>
        <row r="284">
          <cell r="A284">
            <v>144</v>
          </cell>
          <cell r="D284">
            <v>1</v>
          </cell>
        </row>
        <row r="285">
          <cell r="A285">
            <v>146</v>
          </cell>
          <cell r="D285">
            <v>0.3</v>
          </cell>
        </row>
        <row r="286">
          <cell r="A286">
            <v>147</v>
          </cell>
          <cell r="D286">
            <v>2.2000000000000002</v>
          </cell>
        </row>
        <row r="287">
          <cell r="A287">
            <v>147</v>
          </cell>
          <cell r="D287">
            <v>1.5</v>
          </cell>
        </row>
        <row r="288">
          <cell r="A288">
            <v>153</v>
          </cell>
          <cell r="D288">
            <v>1.8</v>
          </cell>
        </row>
        <row r="289">
          <cell r="A289">
            <v>155</v>
          </cell>
          <cell r="D289">
            <v>10.7</v>
          </cell>
        </row>
        <row r="290">
          <cell r="A290">
            <v>155</v>
          </cell>
          <cell r="D290">
            <v>1.3</v>
          </cell>
        </row>
        <row r="291">
          <cell r="A291">
            <v>2</v>
          </cell>
          <cell r="D291">
            <v>0.7</v>
          </cell>
        </row>
        <row r="292">
          <cell r="A292">
            <v>12</v>
          </cell>
          <cell r="D292">
            <v>0.3</v>
          </cell>
        </row>
        <row r="293">
          <cell r="A293">
            <v>17</v>
          </cell>
          <cell r="D293">
            <v>1.5</v>
          </cell>
        </row>
        <row r="294">
          <cell r="A294">
            <v>21</v>
          </cell>
          <cell r="D294">
            <v>0</v>
          </cell>
        </row>
        <row r="295">
          <cell r="A295">
            <v>23</v>
          </cell>
          <cell r="D295">
            <v>0.7</v>
          </cell>
        </row>
        <row r="296">
          <cell r="A296">
            <v>28</v>
          </cell>
          <cell r="D296">
            <v>1.2</v>
          </cell>
        </row>
        <row r="297">
          <cell r="A297">
            <v>29</v>
          </cell>
          <cell r="D297">
            <v>1.9</v>
          </cell>
        </row>
        <row r="298">
          <cell r="A298">
            <v>30</v>
          </cell>
          <cell r="D298">
            <v>3.5</v>
          </cell>
        </row>
        <row r="299">
          <cell r="A299">
            <v>35</v>
          </cell>
          <cell r="D299">
            <v>4.3</v>
          </cell>
        </row>
        <row r="300">
          <cell r="A300">
            <v>35</v>
          </cell>
          <cell r="D300">
            <v>2.9</v>
          </cell>
        </row>
        <row r="301">
          <cell r="A301">
            <v>38</v>
          </cell>
          <cell r="D301">
            <v>5</v>
          </cell>
        </row>
        <row r="302">
          <cell r="A302">
            <v>52</v>
          </cell>
          <cell r="D302">
            <v>13.8</v>
          </cell>
        </row>
        <row r="303">
          <cell r="A303">
            <v>53</v>
          </cell>
          <cell r="D303">
            <v>20.8</v>
          </cell>
        </row>
        <row r="304">
          <cell r="A304">
            <v>55</v>
          </cell>
          <cell r="D304">
            <v>5.8</v>
          </cell>
        </row>
        <row r="305">
          <cell r="A305">
            <v>58</v>
          </cell>
          <cell r="D305">
            <v>25.3</v>
          </cell>
        </row>
        <row r="306">
          <cell r="A306">
            <v>59</v>
          </cell>
          <cell r="D306">
            <v>5.4</v>
          </cell>
        </row>
        <row r="307">
          <cell r="A307">
            <v>61</v>
          </cell>
          <cell r="D307">
            <v>7.3</v>
          </cell>
        </row>
        <row r="308">
          <cell r="A308">
            <v>61</v>
          </cell>
          <cell r="D308">
            <v>26.5</v>
          </cell>
        </row>
        <row r="309">
          <cell r="A309">
            <v>68</v>
          </cell>
          <cell r="D309">
            <v>1</v>
          </cell>
        </row>
        <row r="310">
          <cell r="A310">
            <v>70</v>
          </cell>
          <cell r="D310">
            <v>2.2000000000000002</v>
          </cell>
        </row>
        <row r="311">
          <cell r="A311">
            <v>77</v>
          </cell>
          <cell r="D311">
            <v>0.6</v>
          </cell>
        </row>
        <row r="312">
          <cell r="A312">
            <v>81</v>
          </cell>
          <cell r="D312">
            <v>6.6</v>
          </cell>
        </row>
        <row r="313">
          <cell r="A313">
            <v>87</v>
          </cell>
          <cell r="D313">
            <v>1.4</v>
          </cell>
        </row>
        <row r="314">
          <cell r="A314">
            <v>88</v>
          </cell>
          <cell r="D314">
            <v>2.2999999999999998</v>
          </cell>
        </row>
        <row r="315">
          <cell r="A315">
            <v>93</v>
          </cell>
          <cell r="D315">
            <v>0.5</v>
          </cell>
        </row>
        <row r="316">
          <cell r="A316">
            <v>99</v>
          </cell>
          <cell r="D316">
            <v>4.4000000000000004</v>
          </cell>
        </row>
        <row r="317">
          <cell r="A317">
            <v>100</v>
          </cell>
          <cell r="D317">
            <v>3.8</v>
          </cell>
        </row>
        <row r="318">
          <cell r="A318">
            <v>102</v>
          </cell>
          <cell r="D318">
            <v>3.4</v>
          </cell>
        </row>
        <row r="319">
          <cell r="A319">
            <v>107</v>
          </cell>
          <cell r="D319">
            <v>13.8</v>
          </cell>
        </row>
        <row r="320">
          <cell r="A320">
            <v>109</v>
          </cell>
          <cell r="D320">
            <v>4.5</v>
          </cell>
        </row>
        <row r="321">
          <cell r="A321">
            <v>112</v>
          </cell>
          <cell r="D321">
            <v>11.7</v>
          </cell>
        </row>
        <row r="322">
          <cell r="A322">
            <v>113</v>
          </cell>
          <cell r="D322">
            <v>22.8</v>
          </cell>
        </row>
        <row r="323">
          <cell r="A323">
            <v>116</v>
          </cell>
          <cell r="D323">
            <v>10.5</v>
          </cell>
        </row>
        <row r="324">
          <cell r="A324">
            <v>117</v>
          </cell>
          <cell r="D324">
            <v>10.7</v>
          </cell>
        </row>
        <row r="325">
          <cell r="A325">
            <v>120</v>
          </cell>
          <cell r="D325">
            <v>2.6</v>
          </cell>
        </row>
        <row r="326">
          <cell r="A326">
            <v>123</v>
          </cell>
          <cell r="D326">
            <v>1.1000000000000001</v>
          </cell>
        </row>
        <row r="327">
          <cell r="A327">
            <v>123</v>
          </cell>
          <cell r="D327">
            <v>0.4</v>
          </cell>
        </row>
        <row r="328">
          <cell r="A328">
            <v>132</v>
          </cell>
          <cell r="D328">
            <v>1.8</v>
          </cell>
        </row>
        <row r="329">
          <cell r="A329">
            <v>133</v>
          </cell>
          <cell r="D329">
            <v>5.3</v>
          </cell>
        </row>
        <row r="330">
          <cell r="A330">
            <v>137</v>
          </cell>
          <cell r="D330">
            <v>0.3</v>
          </cell>
        </row>
        <row r="331">
          <cell r="A331">
            <v>144</v>
          </cell>
          <cell r="D331">
            <v>1.3</v>
          </cell>
        </row>
        <row r="332">
          <cell r="A332">
            <v>147</v>
          </cell>
          <cell r="D332">
            <v>2.9</v>
          </cell>
        </row>
        <row r="333">
          <cell r="A333">
            <v>156</v>
          </cell>
          <cell r="D333">
            <v>1.6</v>
          </cell>
        </row>
        <row r="334">
          <cell r="A334">
            <v>158</v>
          </cell>
          <cell r="D334">
            <v>4.7</v>
          </cell>
        </row>
        <row r="335">
          <cell r="A335">
            <v>158</v>
          </cell>
          <cell r="D335">
            <v>0.1</v>
          </cell>
        </row>
        <row r="336">
          <cell r="A336">
            <v>159</v>
          </cell>
          <cell r="D336">
            <v>1.9</v>
          </cell>
        </row>
        <row r="337">
          <cell r="A337">
            <v>2</v>
          </cell>
          <cell r="D337">
            <v>1.8</v>
          </cell>
        </row>
        <row r="338">
          <cell r="A338">
            <v>4</v>
          </cell>
          <cell r="D338">
            <v>1.6</v>
          </cell>
        </row>
        <row r="339">
          <cell r="A339">
            <v>9</v>
          </cell>
          <cell r="D339">
            <v>7.6</v>
          </cell>
        </row>
        <row r="340">
          <cell r="A340">
            <v>17</v>
          </cell>
          <cell r="D340">
            <v>2.9</v>
          </cell>
        </row>
        <row r="341">
          <cell r="A341">
            <v>23</v>
          </cell>
          <cell r="D341">
            <v>2.7</v>
          </cell>
        </row>
        <row r="342">
          <cell r="A342">
            <v>29</v>
          </cell>
          <cell r="D342">
            <v>3.1</v>
          </cell>
        </row>
        <row r="343">
          <cell r="A343">
            <v>30</v>
          </cell>
          <cell r="D343">
            <v>4.3</v>
          </cell>
        </row>
        <row r="344">
          <cell r="A344">
            <v>33</v>
          </cell>
          <cell r="D344">
            <v>1.7</v>
          </cell>
        </row>
        <row r="345">
          <cell r="A345">
            <v>35</v>
          </cell>
          <cell r="D345">
            <v>8.6</v>
          </cell>
        </row>
        <row r="346">
          <cell r="A346">
            <v>38</v>
          </cell>
          <cell r="D346">
            <v>4.9000000000000004</v>
          </cell>
        </row>
        <row r="347">
          <cell r="A347">
            <v>53</v>
          </cell>
          <cell r="D347">
            <v>27</v>
          </cell>
        </row>
        <row r="348">
          <cell r="A348">
            <v>55</v>
          </cell>
          <cell r="D348">
            <v>5.7</v>
          </cell>
        </row>
        <row r="349">
          <cell r="A349">
            <v>57</v>
          </cell>
          <cell r="D349">
            <v>1.3</v>
          </cell>
        </row>
        <row r="350">
          <cell r="A350">
            <v>60</v>
          </cell>
          <cell r="D350">
            <v>1.1000000000000001</v>
          </cell>
        </row>
        <row r="351">
          <cell r="A351">
            <v>61</v>
          </cell>
          <cell r="D351">
            <v>11.9</v>
          </cell>
        </row>
        <row r="352">
          <cell r="A352">
            <v>61</v>
          </cell>
          <cell r="D352">
            <v>5.3</v>
          </cell>
        </row>
        <row r="353">
          <cell r="A353">
            <v>63</v>
          </cell>
          <cell r="D353">
            <v>1.8</v>
          </cell>
        </row>
        <row r="354">
          <cell r="A354">
            <v>64</v>
          </cell>
          <cell r="D354">
            <v>0.8</v>
          </cell>
        </row>
        <row r="355">
          <cell r="A355">
            <v>70</v>
          </cell>
          <cell r="D355">
            <v>1.8</v>
          </cell>
        </row>
        <row r="356">
          <cell r="A356">
            <v>71</v>
          </cell>
          <cell r="D356">
            <v>1</v>
          </cell>
        </row>
        <row r="357">
          <cell r="A357">
            <v>77</v>
          </cell>
          <cell r="D357">
            <v>0.9</v>
          </cell>
        </row>
        <row r="358">
          <cell r="A358">
            <v>79</v>
          </cell>
          <cell r="D358">
            <v>1.1000000000000001</v>
          </cell>
        </row>
        <row r="359">
          <cell r="A359">
            <v>81</v>
          </cell>
          <cell r="D359">
            <v>3.3</v>
          </cell>
        </row>
        <row r="360">
          <cell r="A360">
            <v>85</v>
          </cell>
          <cell r="D360">
            <v>2</v>
          </cell>
        </row>
        <row r="361">
          <cell r="A361">
            <v>87</v>
          </cell>
          <cell r="D361">
            <v>1.5</v>
          </cell>
        </row>
        <row r="362">
          <cell r="A362">
            <v>92</v>
          </cell>
          <cell r="D362">
            <v>5</v>
          </cell>
        </row>
        <row r="363">
          <cell r="A363">
            <v>93</v>
          </cell>
          <cell r="D363">
            <v>0.6</v>
          </cell>
        </row>
        <row r="364">
          <cell r="A364">
            <v>99</v>
          </cell>
          <cell r="D364">
            <v>2.4</v>
          </cell>
        </row>
        <row r="365">
          <cell r="A365">
            <v>106</v>
          </cell>
          <cell r="D365">
            <v>4.7</v>
          </cell>
        </row>
        <row r="366">
          <cell r="A366">
            <v>107</v>
          </cell>
          <cell r="D366">
            <v>1.7</v>
          </cell>
        </row>
        <row r="367">
          <cell r="A367">
            <v>109</v>
          </cell>
          <cell r="D367">
            <v>1.6</v>
          </cell>
        </row>
        <row r="368">
          <cell r="A368">
            <v>112</v>
          </cell>
          <cell r="D368">
            <v>141.30000000000001</v>
          </cell>
        </row>
        <row r="369">
          <cell r="A369">
            <v>113</v>
          </cell>
          <cell r="D369">
            <v>3</v>
          </cell>
        </row>
        <row r="370">
          <cell r="A370">
            <v>116</v>
          </cell>
          <cell r="D370">
            <v>15</v>
          </cell>
        </row>
        <row r="371">
          <cell r="A371">
            <v>117</v>
          </cell>
          <cell r="D371">
            <v>3.5</v>
          </cell>
        </row>
        <row r="372">
          <cell r="A372">
            <v>118</v>
          </cell>
          <cell r="D372">
            <v>4.5</v>
          </cell>
        </row>
        <row r="373">
          <cell r="A373">
            <v>119</v>
          </cell>
          <cell r="D373">
            <v>29.9</v>
          </cell>
        </row>
        <row r="374">
          <cell r="A374">
            <v>119</v>
          </cell>
          <cell r="D374">
            <v>2.7</v>
          </cell>
        </row>
        <row r="375">
          <cell r="A375">
            <v>120</v>
          </cell>
          <cell r="D375">
            <v>1.1000000000000001</v>
          </cell>
        </row>
        <row r="376">
          <cell r="A376">
            <v>122</v>
          </cell>
          <cell r="D376">
            <v>1.6</v>
          </cell>
        </row>
        <row r="377">
          <cell r="A377">
            <v>132</v>
          </cell>
          <cell r="D377">
            <v>0.8</v>
          </cell>
        </row>
        <row r="378">
          <cell r="A378">
            <v>133</v>
          </cell>
          <cell r="D378">
            <v>9.8000000000000007</v>
          </cell>
        </row>
        <row r="379">
          <cell r="A379">
            <v>137</v>
          </cell>
          <cell r="D379">
            <v>2.7</v>
          </cell>
        </row>
        <row r="380">
          <cell r="A380">
            <v>140</v>
          </cell>
          <cell r="D380">
            <v>3</v>
          </cell>
        </row>
        <row r="381">
          <cell r="A381">
            <v>140</v>
          </cell>
          <cell r="D381">
            <v>4.3</v>
          </cell>
        </row>
        <row r="382">
          <cell r="A382">
            <v>144</v>
          </cell>
          <cell r="D382">
            <v>3.1</v>
          </cell>
        </row>
        <row r="383">
          <cell r="A383">
            <v>147</v>
          </cell>
          <cell r="D383">
            <v>4.2</v>
          </cell>
        </row>
        <row r="384">
          <cell r="A384">
            <v>149</v>
          </cell>
          <cell r="D384">
            <v>1.7</v>
          </cell>
        </row>
        <row r="385">
          <cell r="A385">
            <v>154</v>
          </cell>
          <cell r="D385">
            <v>5.9</v>
          </cell>
        </row>
        <row r="386">
          <cell r="A386">
            <v>156</v>
          </cell>
          <cell r="D386">
            <v>2.1</v>
          </cell>
        </row>
        <row r="387">
          <cell r="A387">
            <v>159</v>
          </cell>
          <cell r="D387">
            <v>1.9</v>
          </cell>
        </row>
        <row r="388">
          <cell r="A388">
            <v>2</v>
          </cell>
          <cell r="D388">
            <v>0.3</v>
          </cell>
        </row>
        <row r="389">
          <cell r="A389">
            <v>5</v>
          </cell>
          <cell r="D389">
            <v>2.2000000000000002</v>
          </cell>
        </row>
        <row r="390">
          <cell r="A390">
            <v>5</v>
          </cell>
          <cell r="D390">
            <v>1.5</v>
          </cell>
        </row>
        <row r="391">
          <cell r="A391">
            <v>12</v>
          </cell>
          <cell r="D391">
            <v>0.2</v>
          </cell>
        </row>
        <row r="392">
          <cell r="A392">
            <v>21</v>
          </cell>
          <cell r="D392">
            <v>3.7</v>
          </cell>
        </row>
        <row r="393">
          <cell r="A393">
            <v>23</v>
          </cell>
          <cell r="D393">
            <v>3.6</v>
          </cell>
        </row>
        <row r="394">
          <cell r="A394">
            <v>28</v>
          </cell>
          <cell r="D394">
            <v>1.8</v>
          </cell>
        </row>
        <row r="395">
          <cell r="A395">
            <v>29</v>
          </cell>
          <cell r="D395">
            <v>2.4</v>
          </cell>
        </row>
        <row r="396">
          <cell r="A396">
            <v>35</v>
          </cell>
          <cell r="D396">
            <v>0.7</v>
          </cell>
        </row>
        <row r="397">
          <cell r="A397">
            <v>35</v>
          </cell>
          <cell r="D397">
            <v>19.3</v>
          </cell>
        </row>
        <row r="398">
          <cell r="A398">
            <v>38</v>
          </cell>
          <cell r="D398">
            <v>7.7</v>
          </cell>
        </row>
        <row r="399">
          <cell r="A399">
            <v>52</v>
          </cell>
          <cell r="D399">
            <v>26.8</v>
          </cell>
        </row>
        <row r="400">
          <cell r="A400">
            <v>53</v>
          </cell>
          <cell r="D400">
            <v>26.8</v>
          </cell>
        </row>
        <row r="401">
          <cell r="A401">
            <v>55</v>
          </cell>
          <cell r="D401">
            <v>12.1</v>
          </cell>
        </row>
        <row r="402">
          <cell r="A402">
            <v>61</v>
          </cell>
          <cell r="D402">
            <v>26.8</v>
          </cell>
        </row>
        <row r="403">
          <cell r="A403">
            <v>63</v>
          </cell>
          <cell r="D403">
            <v>1.2</v>
          </cell>
        </row>
        <row r="404">
          <cell r="A404">
            <v>67</v>
          </cell>
          <cell r="D404">
            <v>3</v>
          </cell>
        </row>
        <row r="405">
          <cell r="A405">
            <v>70</v>
          </cell>
          <cell r="D405">
            <v>3.3</v>
          </cell>
        </row>
        <row r="406">
          <cell r="A406">
            <v>71</v>
          </cell>
          <cell r="D406">
            <v>1</v>
          </cell>
        </row>
        <row r="407">
          <cell r="A407">
            <v>77</v>
          </cell>
          <cell r="D407">
            <v>1.2</v>
          </cell>
        </row>
        <row r="408">
          <cell r="A408">
            <v>81</v>
          </cell>
          <cell r="D408">
            <v>0.7</v>
          </cell>
        </row>
        <row r="409">
          <cell r="A409">
            <v>86</v>
          </cell>
          <cell r="D409">
            <v>0.9</v>
          </cell>
        </row>
        <row r="410">
          <cell r="A410">
            <v>86</v>
          </cell>
          <cell r="D410">
            <v>1</v>
          </cell>
        </row>
        <row r="411">
          <cell r="A411">
            <v>87</v>
          </cell>
          <cell r="D411">
            <v>0.8</v>
          </cell>
        </row>
        <row r="412">
          <cell r="A412">
            <v>88</v>
          </cell>
          <cell r="D412">
            <v>2.6</v>
          </cell>
        </row>
        <row r="413">
          <cell r="A413">
            <v>92</v>
          </cell>
          <cell r="D413">
            <v>1</v>
          </cell>
        </row>
        <row r="414">
          <cell r="A414">
            <v>99</v>
          </cell>
          <cell r="D414">
            <v>5.4</v>
          </cell>
        </row>
        <row r="415">
          <cell r="A415">
            <v>100</v>
          </cell>
          <cell r="D415">
            <v>2.2999999999999998</v>
          </cell>
        </row>
        <row r="416">
          <cell r="A416">
            <v>107</v>
          </cell>
          <cell r="D416">
            <v>4.3</v>
          </cell>
        </row>
        <row r="417">
          <cell r="A417">
            <v>112</v>
          </cell>
          <cell r="D417">
            <v>3.6</v>
          </cell>
        </row>
        <row r="418">
          <cell r="A418">
            <v>113</v>
          </cell>
          <cell r="D418">
            <v>1.6</v>
          </cell>
        </row>
        <row r="419">
          <cell r="A419">
            <v>116</v>
          </cell>
          <cell r="D419">
            <v>19.100000000000001</v>
          </cell>
        </row>
        <row r="420">
          <cell r="A420">
            <v>117</v>
          </cell>
          <cell r="D420">
            <v>22.9</v>
          </cell>
        </row>
        <row r="421">
          <cell r="A421">
            <v>121</v>
          </cell>
          <cell r="D421">
            <v>2.6</v>
          </cell>
        </row>
        <row r="422">
          <cell r="A422">
            <v>132</v>
          </cell>
          <cell r="D422">
            <v>1.2</v>
          </cell>
        </row>
        <row r="423">
          <cell r="A423">
            <v>137</v>
          </cell>
          <cell r="D423">
            <v>2.1</v>
          </cell>
        </row>
        <row r="424">
          <cell r="A424">
            <v>140</v>
          </cell>
          <cell r="D424">
            <v>8.1</v>
          </cell>
        </row>
        <row r="425">
          <cell r="A425">
            <v>147</v>
          </cell>
          <cell r="D425">
            <v>2</v>
          </cell>
        </row>
        <row r="426">
          <cell r="A426">
            <v>149</v>
          </cell>
          <cell r="D426">
            <v>0.9</v>
          </cell>
        </row>
        <row r="427">
          <cell r="A427">
            <v>159</v>
          </cell>
          <cell r="D427">
            <v>3.1</v>
          </cell>
        </row>
        <row r="428">
          <cell r="A428">
            <v>5</v>
          </cell>
          <cell r="D428">
            <v>0.8</v>
          </cell>
        </row>
        <row r="429">
          <cell r="A429">
            <v>9</v>
          </cell>
          <cell r="D429">
            <v>15.6</v>
          </cell>
        </row>
        <row r="430">
          <cell r="A430">
            <v>17</v>
          </cell>
          <cell r="D430">
            <v>1.9</v>
          </cell>
        </row>
        <row r="431">
          <cell r="A431">
            <v>21</v>
          </cell>
          <cell r="D431">
            <v>2.4</v>
          </cell>
        </row>
        <row r="432">
          <cell r="A432">
            <v>23</v>
          </cell>
          <cell r="D432">
            <v>2</v>
          </cell>
        </row>
        <row r="433">
          <cell r="A433">
            <v>28</v>
          </cell>
          <cell r="D433">
            <v>3.1</v>
          </cell>
        </row>
        <row r="434">
          <cell r="A434">
            <v>29</v>
          </cell>
          <cell r="D434">
            <v>1.9</v>
          </cell>
        </row>
        <row r="435">
          <cell r="A435">
            <v>30</v>
          </cell>
          <cell r="D435">
            <v>2.2000000000000002</v>
          </cell>
        </row>
        <row r="436">
          <cell r="A436">
            <v>33</v>
          </cell>
          <cell r="D436">
            <v>1.7</v>
          </cell>
        </row>
        <row r="437">
          <cell r="A437">
            <v>35</v>
          </cell>
          <cell r="D437">
            <v>3.7</v>
          </cell>
        </row>
        <row r="438">
          <cell r="A438">
            <v>37</v>
          </cell>
          <cell r="D438">
            <v>2.2999999999999998</v>
          </cell>
        </row>
        <row r="439">
          <cell r="A439">
            <v>38</v>
          </cell>
          <cell r="D439">
            <v>6.2</v>
          </cell>
        </row>
        <row r="440">
          <cell r="A440">
            <v>52</v>
          </cell>
          <cell r="D440">
            <v>1.5</v>
          </cell>
        </row>
        <row r="441">
          <cell r="A441">
            <v>53</v>
          </cell>
          <cell r="D441">
            <v>7</v>
          </cell>
        </row>
        <row r="442">
          <cell r="A442">
            <v>55</v>
          </cell>
          <cell r="D442">
            <v>4.2</v>
          </cell>
        </row>
        <row r="443">
          <cell r="A443">
            <v>61</v>
          </cell>
          <cell r="D443">
            <v>52.1</v>
          </cell>
        </row>
        <row r="444">
          <cell r="A444">
            <v>64</v>
          </cell>
          <cell r="D444">
            <v>3.8</v>
          </cell>
        </row>
        <row r="445">
          <cell r="A445">
            <v>70</v>
          </cell>
          <cell r="D445">
            <v>1.3</v>
          </cell>
        </row>
        <row r="446">
          <cell r="A446">
            <v>71</v>
          </cell>
          <cell r="D446">
            <v>0.7</v>
          </cell>
        </row>
        <row r="447">
          <cell r="A447">
            <v>79</v>
          </cell>
          <cell r="D447">
            <v>1.4</v>
          </cell>
        </row>
        <row r="448">
          <cell r="A448">
            <v>81</v>
          </cell>
          <cell r="D448">
            <v>2.9</v>
          </cell>
        </row>
        <row r="449">
          <cell r="A449">
            <v>86</v>
          </cell>
          <cell r="D449">
            <v>1.1000000000000001</v>
          </cell>
        </row>
        <row r="450">
          <cell r="A450">
            <v>87</v>
          </cell>
          <cell r="D450">
            <v>0.4</v>
          </cell>
        </row>
        <row r="451">
          <cell r="A451">
            <v>88</v>
          </cell>
          <cell r="D451">
            <v>2.2999999999999998</v>
          </cell>
        </row>
        <row r="452">
          <cell r="A452">
            <v>92</v>
          </cell>
          <cell r="D452">
            <v>0.4</v>
          </cell>
        </row>
        <row r="453">
          <cell r="A453">
            <v>99</v>
          </cell>
          <cell r="D453">
            <v>7.2</v>
          </cell>
        </row>
        <row r="454">
          <cell r="A454">
            <v>102</v>
          </cell>
          <cell r="D454">
            <v>0.9</v>
          </cell>
        </row>
        <row r="455">
          <cell r="A455">
            <v>107</v>
          </cell>
          <cell r="D455">
            <v>3.4</v>
          </cell>
        </row>
        <row r="456">
          <cell r="A456">
            <v>109</v>
          </cell>
          <cell r="D456">
            <v>1.2</v>
          </cell>
        </row>
        <row r="457">
          <cell r="A457">
            <v>112</v>
          </cell>
          <cell r="D457">
            <v>3.4</v>
          </cell>
        </row>
        <row r="458">
          <cell r="A458">
            <v>113</v>
          </cell>
          <cell r="D458">
            <v>1.8</v>
          </cell>
        </row>
        <row r="459">
          <cell r="A459">
            <v>116</v>
          </cell>
          <cell r="D459">
            <v>26.9</v>
          </cell>
        </row>
        <row r="460">
          <cell r="A460">
            <v>117</v>
          </cell>
          <cell r="D460">
            <v>0.7</v>
          </cell>
        </row>
        <row r="461">
          <cell r="A461">
            <v>118</v>
          </cell>
          <cell r="D461">
            <v>1.8</v>
          </cell>
        </row>
        <row r="462">
          <cell r="A462">
            <v>132</v>
          </cell>
          <cell r="D462">
            <v>1.1000000000000001</v>
          </cell>
        </row>
        <row r="463">
          <cell r="A463">
            <v>133</v>
          </cell>
          <cell r="D463">
            <v>0.6</v>
          </cell>
        </row>
        <row r="464">
          <cell r="A464">
            <v>137</v>
          </cell>
          <cell r="D464">
            <v>2</v>
          </cell>
        </row>
        <row r="465">
          <cell r="A465">
            <v>140</v>
          </cell>
          <cell r="D465">
            <v>2.2000000000000002</v>
          </cell>
        </row>
        <row r="466">
          <cell r="A466">
            <v>144</v>
          </cell>
          <cell r="D466">
            <v>3.9</v>
          </cell>
        </row>
        <row r="467">
          <cell r="A467">
            <v>147</v>
          </cell>
          <cell r="D467">
            <v>2.2999999999999998</v>
          </cell>
        </row>
        <row r="468">
          <cell r="A468">
            <v>155</v>
          </cell>
          <cell r="D468">
            <v>18.7</v>
          </cell>
        </row>
        <row r="469">
          <cell r="A469">
            <v>158</v>
          </cell>
          <cell r="D469">
            <v>2.9</v>
          </cell>
        </row>
        <row r="470">
          <cell r="A470">
            <v>159</v>
          </cell>
          <cell r="D470">
            <v>1.9</v>
          </cell>
        </row>
        <row r="471">
          <cell r="A471">
            <v>5</v>
          </cell>
          <cell r="D471">
            <v>0.9</v>
          </cell>
        </row>
        <row r="472">
          <cell r="A472">
            <v>12</v>
          </cell>
          <cell r="D472">
            <v>0.4</v>
          </cell>
        </row>
        <row r="473">
          <cell r="A473">
            <v>23</v>
          </cell>
          <cell r="D473">
            <v>4.2</v>
          </cell>
        </row>
        <row r="474">
          <cell r="A474">
            <v>28</v>
          </cell>
          <cell r="D474">
            <v>1</v>
          </cell>
        </row>
        <row r="475">
          <cell r="A475">
            <v>30</v>
          </cell>
          <cell r="D475">
            <v>1.1000000000000001</v>
          </cell>
        </row>
        <row r="476">
          <cell r="A476">
            <v>35</v>
          </cell>
          <cell r="D476">
            <v>12.6</v>
          </cell>
        </row>
        <row r="477">
          <cell r="A477">
            <v>38</v>
          </cell>
          <cell r="D477">
            <v>12.3</v>
          </cell>
        </row>
        <row r="478">
          <cell r="A478">
            <v>53</v>
          </cell>
          <cell r="D478">
            <v>36.5</v>
          </cell>
        </row>
        <row r="479">
          <cell r="A479">
            <v>55</v>
          </cell>
          <cell r="D479">
            <v>6.2</v>
          </cell>
        </row>
        <row r="480">
          <cell r="A480">
            <v>61</v>
          </cell>
          <cell r="D480">
            <v>73.7</v>
          </cell>
        </row>
        <row r="481">
          <cell r="A481">
            <v>63</v>
          </cell>
          <cell r="D481">
            <v>1</v>
          </cell>
        </row>
        <row r="482">
          <cell r="A482">
            <v>64</v>
          </cell>
          <cell r="D482">
            <v>0.6</v>
          </cell>
        </row>
        <row r="483">
          <cell r="A483">
            <v>71</v>
          </cell>
          <cell r="D483">
            <v>0.6</v>
          </cell>
        </row>
        <row r="484">
          <cell r="A484">
            <v>81</v>
          </cell>
          <cell r="D484">
            <v>3</v>
          </cell>
        </row>
        <row r="485">
          <cell r="A485">
            <v>87</v>
          </cell>
          <cell r="D485">
            <v>0.6</v>
          </cell>
        </row>
        <row r="486">
          <cell r="A486">
            <v>88</v>
          </cell>
          <cell r="D486">
            <v>5.6</v>
          </cell>
        </row>
        <row r="487">
          <cell r="A487">
            <v>92</v>
          </cell>
          <cell r="D487">
            <v>0.8</v>
          </cell>
        </row>
        <row r="488">
          <cell r="A488">
            <v>93</v>
          </cell>
          <cell r="D488">
            <v>4.3</v>
          </cell>
        </row>
        <row r="489">
          <cell r="A489">
            <v>99</v>
          </cell>
          <cell r="D489">
            <v>7.7</v>
          </cell>
        </row>
        <row r="490">
          <cell r="A490">
            <v>102</v>
          </cell>
          <cell r="D490">
            <v>1</v>
          </cell>
        </row>
        <row r="491">
          <cell r="A491">
            <v>109</v>
          </cell>
          <cell r="D491">
            <v>1.2</v>
          </cell>
        </row>
        <row r="492">
          <cell r="A492">
            <v>112</v>
          </cell>
          <cell r="D492">
            <v>3.1</v>
          </cell>
        </row>
        <row r="493">
          <cell r="A493">
            <v>116</v>
          </cell>
          <cell r="D493">
            <v>23</v>
          </cell>
        </row>
        <row r="494">
          <cell r="A494">
            <v>122</v>
          </cell>
          <cell r="D494">
            <v>2.5</v>
          </cell>
        </row>
        <row r="495">
          <cell r="A495">
            <v>123</v>
          </cell>
          <cell r="D495">
            <v>0.5</v>
          </cell>
        </row>
        <row r="496">
          <cell r="A496">
            <v>131</v>
          </cell>
          <cell r="D496">
            <v>3.3</v>
          </cell>
        </row>
        <row r="497">
          <cell r="A497">
            <v>132</v>
          </cell>
          <cell r="D497">
            <v>1.4</v>
          </cell>
        </row>
        <row r="498">
          <cell r="A498">
            <v>133</v>
          </cell>
          <cell r="D498">
            <v>5.7</v>
          </cell>
        </row>
        <row r="499">
          <cell r="A499">
            <v>137</v>
          </cell>
          <cell r="D499">
            <v>3.5</v>
          </cell>
        </row>
        <row r="500">
          <cell r="A500">
            <v>147</v>
          </cell>
          <cell r="D500">
            <v>2.5</v>
          </cell>
        </row>
        <row r="501">
          <cell r="A501">
            <v>159</v>
          </cell>
          <cell r="D501">
            <v>2.8</v>
          </cell>
        </row>
        <row r="502">
          <cell r="A502">
            <v>9</v>
          </cell>
          <cell r="D502">
            <v>54.3</v>
          </cell>
        </row>
        <row r="503">
          <cell r="A503">
            <v>17</v>
          </cell>
          <cell r="D503">
            <v>2.8</v>
          </cell>
        </row>
        <row r="504">
          <cell r="A504">
            <v>21</v>
          </cell>
          <cell r="D504">
            <v>2.9</v>
          </cell>
        </row>
        <row r="505">
          <cell r="A505">
            <v>21</v>
          </cell>
          <cell r="D505">
            <v>0.7</v>
          </cell>
        </row>
        <row r="506">
          <cell r="A506">
            <v>23</v>
          </cell>
          <cell r="D506">
            <v>5</v>
          </cell>
        </row>
        <row r="507">
          <cell r="A507">
            <v>23</v>
          </cell>
          <cell r="D507">
            <v>2.5</v>
          </cell>
        </row>
        <row r="508">
          <cell r="A508">
            <v>28</v>
          </cell>
          <cell r="D508">
            <v>5.2</v>
          </cell>
        </row>
        <row r="509">
          <cell r="A509">
            <v>30</v>
          </cell>
          <cell r="D509">
            <v>0.6</v>
          </cell>
        </row>
        <row r="510">
          <cell r="A510">
            <v>33</v>
          </cell>
          <cell r="D510">
            <v>1.3</v>
          </cell>
        </row>
        <row r="511">
          <cell r="A511">
            <v>35</v>
          </cell>
          <cell r="D511">
            <v>5.5</v>
          </cell>
        </row>
        <row r="512">
          <cell r="A512">
            <v>37</v>
          </cell>
          <cell r="D512">
            <v>2.4</v>
          </cell>
        </row>
        <row r="513">
          <cell r="A513">
            <v>38</v>
          </cell>
          <cell r="D513">
            <v>4.7</v>
          </cell>
        </row>
        <row r="514">
          <cell r="A514">
            <v>53</v>
          </cell>
          <cell r="D514">
            <v>39.799999999999997</v>
          </cell>
        </row>
        <row r="515">
          <cell r="A515">
            <v>55</v>
          </cell>
          <cell r="D515">
            <v>4.8</v>
          </cell>
        </row>
        <row r="516">
          <cell r="A516">
            <v>61</v>
          </cell>
          <cell r="D516">
            <v>17.5</v>
          </cell>
        </row>
        <row r="517">
          <cell r="A517">
            <v>63</v>
          </cell>
          <cell r="D517">
            <v>0.5</v>
          </cell>
        </row>
        <row r="518">
          <cell r="A518">
            <v>64</v>
          </cell>
          <cell r="D518">
            <v>1.6</v>
          </cell>
        </row>
        <row r="519">
          <cell r="A519">
            <v>86</v>
          </cell>
          <cell r="D519">
            <v>3.8</v>
          </cell>
        </row>
        <row r="520">
          <cell r="A520">
            <v>87</v>
          </cell>
          <cell r="D520">
            <v>0.5</v>
          </cell>
        </row>
        <row r="521">
          <cell r="A521">
            <v>88</v>
          </cell>
          <cell r="D521">
            <v>5.3</v>
          </cell>
        </row>
        <row r="522">
          <cell r="A522">
            <v>93</v>
          </cell>
          <cell r="D522">
            <v>0.6</v>
          </cell>
        </row>
        <row r="523">
          <cell r="A523">
            <v>99</v>
          </cell>
          <cell r="D523">
            <v>8.1</v>
          </cell>
        </row>
        <row r="524">
          <cell r="A524">
            <v>100</v>
          </cell>
          <cell r="D524">
            <v>6.2</v>
          </cell>
        </row>
        <row r="525">
          <cell r="A525">
            <v>107</v>
          </cell>
          <cell r="D525">
            <v>6.1</v>
          </cell>
        </row>
        <row r="526">
          <cell r="A526">
            <v>109</v>
          </cell>
          <cell r="D526">
            <v>1.5</v>
          </cell>
        </row>
        <row r="527">
          <cell r="A527">
            <v>113</v>
          </cell>
          <cell r="D527">
            <v>3.3</v>
          </cell>
        </row>
        <row r="528">
          <cell r="A528">
            <v>116</v>
          </cell>
          <cell r="D528">
            <v>33</v>
          </cell>
        </row>
        <row r="529">
          <cell r="A529">
            <v>117</v>
          </cell>
          <cell r="D529">
            <v>31.4</v>
          </cell>
        </row>
        <row r="530">
          <cell r="A530">
            <v>118</v>
          </cell>
          <cell r="D530">
            <v>3.9</v>
          </cell>
        </row>
        <row r="531">
          <cell r="A531">
            <v>119</v>
          </cell>
          <cell r="D531">
            <v>1.6</v>
          </cell>
        </row>
        <row r="532">
          <cell r="A532">
            <v>120</v>
          </cell>
          <cell r="D532">
            <v>3.7</v>
          </cell>
        </row>
        <row r="533">
          <cell r="A533">
            <v>123</v>
          </cell>
          <cell r="D533">
            <v>0.8</v>
          </cell>
        </row>
        <row r="534">
          <cell r="A534">
            <v>131</v>
          </cell>
          <cell r="D534">
            <v>3.7</v>
          </cell>
        </row>
        <row r="535">
          <cell r="A535">
            <v>132</v>
          </cell>
          <cell r="D535">
            <v>0.9</v>
          </cell>
        </row>
        <row r="536">
          <cell r="A536">
            <v>133</v>
          </cell>
          <cell r="D536">
            <v>5.5</v>
          </cell>
        </row>
        <row r="537">
          <cell r="A537">
            <v>137</v>
          </cell>
          <cell r="D537">
            <v>9</v>
          </cell>
        </row>
        <row r="538">
          <cell r="A538">
            <v>140</v>
          </cell>
          <cell r="D538">
            <v>3.6</v>
          </cell>
        </row>
        <row r="539">
          <cell r="A539">
            <v>147</v>
          </cell>
          <cell r="D539">
            <v>2.8</v>
          </cell>
        </row>
        <row r="540">
          <cell r="A540">
            <v>153</v>
          </cell>
          <cell r="D540">
            <v>1.4</v>
          </cell>
        </row>
        <row r="541">
          <cell r="A541">
            <v>158</v>
          </cell>
          <cell r="D541">
            <v>3.6</v>
          </cell>
        </row>
        <row r="542">
          <cell r="A542">
            <v>5</v>
          </cell>
          <cell r="D542">
            <v>4.3</v>
          </cell>
        </row>
        <row r="543">
          <cell r="A543">
            <v>12</v>
          </cell>
          <cell r="D543">
            <v>0.2</v>
          </cell>
        </row>
        <row r="544">
          <cell r="A544">
            <v>17</v>
          </cell>
          <cell r="D544">
            <v>1.6</v>
          </cell>
        </row>
        <row r="545">
          <cell r="A545">
            <v>21</v>
          </cell>
          <cell r="D545">
            <v>1.8</v>
          </cell>
        </row>
        <row r="546">
          <cell r="A546">
            <v>23</v>
          </cell>
          <cell r="D546">
            <v>2.2000000000000002</v>
          </cell>
        </row>
        <row r="547">
          <cell r="A547">
            <v>28</v>
          </cell>
          <cell r="D547">
            <v>1.5</v>
          </cell>
        </row>
        <row r="548">
          <cell r="A548">
            <v>30</v>
          </cell>
          <cell r="D548">
            <v>3.4</v>
          </cell>
        </row>
        <row r="549">
          <cell r="A549">
            <v>35</v>
          </cell>
          <cell r="D549">
            <v>7.4</v>
          </cell>
        </row>
        <row r="550">
          <cell r="A550">
            <v>38</v>
          </cell>
          <cell r="D550">
            <v>5</v>
          </cell>
        </row>
        <row r="551">
          <cell r="A551">
            <v>53</v>
          </cell>
          <cell r="D551">
            <v>33.6</v>
          </cell>
        </row>
        <row r="552">
          <cell r="A552">
            <v>55</v>
          </cell>
          <cell r="D552">
            <v>9.4</v>
          </cell>
        </row>
        <row r="553">
          <cell r="A553">
            <v>60</v>
          </cell>
          <cell r="D553">
            <v>0.8</v>
          </cell>
        </row>
        <row r="554">
          <cell r="A554">
            <v>61</v>
          </cell>
          <cell r="D554">
            <v>36.799999999999997</v>
          </cell>
        </row>
        <row r="555">
          <cell r="A555">
            <v>63</v>
          </cell>
          <cell r="D555">
            <v>0.4</v>
          </cell>
        </row>
        <row r="556">
          <cell r="A556">
            <v>71</v>
          </cell>
          <cell r="D556">
            <v>1</v>
          </cell>
        </row>
        <row r="557">
          <cell r="A557">
            <v>81</v>
          </cell>
          <cell r="D557">
            <v>1.6</v>
          </cell>
        </row>
        <row r="558">
          <cell r="A558">
            <v>88</v>
          </cell>
          <cell r="D558">
            <v>4.8</v>
          </cell>
        </row>
        <row r="559">
          <cell r="A559">
            <v>92</v>
          </cell>
          <cell r="D559">
            <v>1</v>
          </cell>
        </row>
        <row r="560">
          <cell r="A560">
            <v>93</v>
          </cell>
          <cell r="D560">
            <v>4.0999999999999996</v>
          </cell>
        </row>
        <row r="561">
          <cell r="A561">
            <v>99</v>
          </cell>
          <cell r="D561">
            <v>2.1</v>
          </cell>
        </row>
        <row r="562">
          <cell r="A562">
            <v>102</v>
          </cell>
          <cell r="D562">
            <v>0.8</v>
          </cell>
        </row>
        <row r="563">
          <cell r="A563">
            <v>107</v>
          </cell>
          <cell r="D563">
            <v>6.6</v>
          </cell>
        </row>
        <row r="564">
          <cell r="A564">
            <v>109</v>
          </cell>
          <cell r="D564">
            <v>0.7</v>
          </cell>
        </row>
        <row r="565">
          <cell r="A565">
            <v>116</v>
          </cell>
          <cell r="D565">
            <v>13.2</v>
          </cell>
        </row>
        <row r="566">
          <cell r="A566">
            <v>117</v>
          </cell>
          <cell r="D566">
            <v>2.6</v>
          </cell>
        </row>
        <row r="567">
          <cell r="A567">
            <v>118</v>
          </cell>
          <cell r="D567">
            <v>1.4</v>
          </cell>
        </row>
        <row r="568">
          <cell r="A568">
            <v>123</v>
          </cell>
          <cell r="D568">
            <v>1.8</v>
          </cell>
        </row>
        <row r="569">
          <cell r="A569">
            <v>133</v>
          </cell>
          <cell r="D569">
            <v>1.9</v>
          </cell>
        </row>
        <row r="570">
          <cell r="A570">
            <v>137</v>
          </cell>
          <cell r="D570">
            <v>4.9000000000000004</v>
          </cell>
        </row>
        <row r="571">
          <cell r="A571">
            <v>144</v>
          </cell>
          <cell r="D571">
            <v>2.9</v>
          </cell>
        </row>
        <row r="572">
          <cell r="A572">
            <v>147</v>
          </cell>
          <cell r="D572">
            <v>4.5999999999999996</v>
          </cell>
        </row>
        <row r="573">
          <cell r="A573">
            <v>153</v>
          </cell>
          <cell r="D573">
            <v>1.6</v>
          </cell>
        </row>
        <row r="574">
          <cell r="A574">
            <v>5</v>
          </cell>
          <cell r="D574">
            <v>3.4</v>
          </cell>
        </row>
        <row r="575">
          <cell r="A575">
            <v>9</v>
          </cell>
          <cell r="D575">
            <v>43.9</v>
          </cell>
        </row>
        <row r="576">
          <cell r="A576">
            <v>12</v>
          </cell>
          <cell r="D576">
            <v>1.2</v>
          </cell>
        </row>
        <row r="577">
          <cell r="A577">
            <v>17</v>
          </cell>
          <cell r="D577">
            <v>1.6</v>
          </cell>
        </row>
        <row r="578">
          <cell r="A578">
            <v>21</v>
          </cell>
          <cell r="D578">
            <v>1.2</v>
          </cell>
        </row>
        <row r="579">
          <cell r="A579">
            <v>23</v>
          </cell>
          <cell r="D579">
            <v>4</v>
          </cell>
        </row>
        <row r="580">
          <cell r="A580">
            <v>38</v>
          </cell>
          <cell r="D580">
            <v>7.6</v>
          </cell>
        </row>
        <row r="581">
          <cell r="A581">
            <v>40</v>
          </cell>
          <cell r="D581">
            <v>1.6</v>
          </cell>
        </row>
        <row r="582">
          <cell r="A582">
            <v>53</v>
          </cell>
          <cell r="D582">
            <v>43.5</v>
          </cell>
        </row>
        <row r="583">
          <cell r="A583">
            <v>55</v>
          </cell>
          <cell r="D583">
            <v>15.9</v>
          </cell>
        </row>
        <row r="584">
          <cell r="A584">
            <v>61</v>
          </cell>
          <cell r="D584">
            <v>52.5</v>
          </cell>
        </row>
        <row r="585">
          <cell r="A585">
            <v>63</v>
          </cell>
          <cell r="D585">
            <v>0.4</v>
          </cell>
        </row>
        <row r="586">
          <cell r="A586">
            <v>70</v>
          </cell>
          <cell r="D586">
            <v>2.2000000000000002</v>
          </cell>
        </row>
        <row r="587">
          <cell r="A587">
            <v>71</v>
          </cell>
          <cell r="D587">
            <v>1.7</v>
          </cell>
        </row>
        <row r="588">
          <cell r="A588">
            <v>79</v>
          </cell>
          <cell r="D588">
            <v>0.8</v>
          </cell>
        </row>
        <row r="589">
          <cell r="A589">
            <v>80</v>
          </cell>
          <cell r="D589">
            <v>4.0999999999999996</v>
          </cell>
        </row>
        <row r="590">
          <cell r="A590">
            <v>81</v>
          </cell>
          <cell r="D590">
            <v>8.8000000000000007</v>
          </cell>
        </row>
        <row r="591">
          <cell r="A591">
            <v>86</v>
          </cell>
          <cell r="D591">
            <v>6.8999999999999995</v>
          </cell>
        </row>
        <row r="592">
          <cell r="A592">
            <v>87</v>
          </cell>
          <cell r="D592">
            <v>0.8</v>
          </cell>
        </row>
        <row r="593">
          <cell r="A593">
            <v>92</v>
          </cell>
          <cell r="D593">
            <v>1.4</v>
          </cell>
        </row>
        <row r="594">
          <cell r="A594">
            <v>93</v>
          </cell>
          <cell r="D594">
            <v>2.7</v>
          </cell>
        </row>
        <row r="595">
          <cell r="A595">
            <v>99</v>
          </cell>
          <cell r="D595">
            <v>6.6</v>
          </cell>
        </row>
        <row r="596">
          <cell r="A596">
            <v>100</v>
          </cell>
          <cell r="D596">
            <v>0.9</v>
          </cell>
        </row>
        <row r="597">
          <cell r="A597">
            <v>107</v>
          </cell>
          <cell r="D597">
            <v>4.4000000000000004</v>
          </cell>
        </row>
        <row r="598">
          <cell r="A598">
            <v>109</v>
          </cell>
          <cell r="D598">
            <v>1.6</v>
          </cell>
        </row>
        <row r="599">
          <cell r="A599">
            <v>112</v>
          </cell>
          <cell r="D599">
            <v>5</v>
          </cell>
        </row>
        <row r="600">
          <cell r="A600">
            <v>113</v>
          </cell>
          <cell r="D600">
            <v>2.5</v>
          </cell>
        </row>
        <row r="601">
          <cell r="A601">
            <v>116</v>
          </cell>
          <cell r="D601">
            <v>48.3</v>
          </cell>
        </row>
        <row r="602">
          <cell r="A602">
            <v>117</v>
          </cell>
          <cell r="D602">
            <v>1.3</v>
          </cell>
        </row>
        <row r="603">
          <cell r="A603">
            <v>132</v>
          </cell>
          <cell r="D603">
            <v>1.6</v>
          </cell>
        </row>
        <row r="604">
          <cell r="A604">
            <v>133</v>
          </cell>
          <cell r="D604">
            <v>0.8</v>
          </cell>
        </row>
        <row r="605">
          <cell r="A605">
            <v>137</v>
          </cell>
          <cell r="D605">
            <v>1.8</v>
          </cell>
        </row>
        <row r="606">
          <cell r="A606">
            <v>144</v>
          </cell>
          <cell r="D606">
            <v>2.2999999999999998</v>
          </cell>
        </row>
        <row r="607">
          <cell r="A607">
            <v>146</v>
          </cell>
          <cell r="D607">
            <v>0.6</v>
          </cell>
        </row>
        <row r="608">
          <cell r="A608">
            <v>147</v>
          </cell>
          <cell r="D608">
            <v>3.2</v>
          </cell>
        </row>
        <row r="609">
          <cell r="A609">
            <v>159</v>
          </cell>
          <cell r="D609">
            <v>2.6</v>
          </cell>
        </row>
        <row r="610">
          <cell r="A610">
            <v>5</v>
          </cell>
          <cell r="D610">
            <v>2.4</v>
          </cell>
        </row>
        <row r="611">
          <cell r="A611">
            <v>17</v>
          </cell>
          <cell r="D611">
            <v>3.4</v>
          </cell>
        </row>
        <row r="612">
          <cell r="A612">
            <v>21</v>
          </cell>
          <cell r="D612">
            <v>1.1000000000000001</v>
          </cell>
        </row>
        <row r="613">
          <cell r="A613">
            <v>23</v>
          </cell>
          <cell r="D613">
            <v>6</v>
          </cell>
        </row>
        <row r="614">
          <cell r="A614">
            <v>28</v>
          </cell>
          <cell r="D614">
            <v>0.8</v>
          </cell>
        </row>
        <row r="615">
          <cell r="A615">
            <v>30</v>
          </cell>
          <cell r="D615">
            <v>0.6</v>
          </cell>
        </row>
        <row r="616">
          <cell r="A616">
            <v>35</v>
          </cell>
          <cell r="D616">
            <v>13.1</v>
          </cell>
        </row>
        <row r="617">
          <cell r="A617">
            <v>38</v>
          </cell>
          <cell r="D617">
            <v>11.3</v>
          </cell>
        </row>
        <row r="618">
          <cell r="A618">
            <v>53</v>
          </cell>
          <cell r="D618">
            <v>45.6</v>
          </cell>
        </row>
        <row r="619">
          <cell r="A619">
            <v>55</v>
          </cell>
          <cell r="D619">
            <v>4</v>
          </cell>
        </row>
        <row r="620">
          <cell r="A620">
            <v>57</v>
          </cell>
          <cell r="D620">
            <v>6.4</v>
          </cell>
        </row>
        <row r="621">
          <cell r="A621">
            <v>61</v>
          </cell>
          <cell r="D621">
            <v>59.300000000000004</v>
          </cell>
        </row>
        <row r="622">
          <cell r="A622">
            <v>70</v>
          </cell>
          <cell r="D622">
            <v>1</v>
          </cell>
        </row>
        <row r="623">
          <cell r="A623">
            <v>71</v>
          </cell>
          <cell r="D623">
            <v>1.6</v>
          </cell>
        </row>
        <row r="624">
          <cell r="A624">
            <v>81</v>
          </cell>
          <cell r="D624">
            <v>3.8</v>
          </cell>
        </row>
        <row r="625">
          <cell r="A625">
            <v>86</v>
          </cell>
          <cell r="D625">
            <v>1.6</v>
          </cell>
        </row>
        <row r="626">
          <cell r="A626">
            <v>88</v>
          </cell>
          <cell r="D626">
            <v>1.7</v>
          </cell>
        </row>
        <row r="627">
          <cell r="A627">
            <v>99</v>
          </cell>
          <cell r="D627">
            <v>6.8</v>
          </cell>
        </row>
        <row r="628">
          <cell r="A628">
            <v>100</v>
          </cell>
          <cell r="D628">
            <v>1.5</v>
          </cell>
        </row>
        <row r="629">
          <cell r="A629">
            <v>106</v>
          </cell>
          <cell r="D629">
            <v>6</v>
          </cell>
        </row>
        <row r="630">
          <cell r="A630">
            <v>107</v>
          </cell>
          <cell r="D630">
            <v>2.6</v>
          </cell>
        </row>
        <row r="631">
          <cell r="A631">
            <v>109</v>
          </cell>
          <cell r="D631">
            <v>1.4</v>
          </cell>
        </row>
        <row r="632">
          <cell r="A632">
            <v>112</v>
          </cell>
          <cell r="D632">
            <v>4.9000000000000004</v>
          </cell>
        </row>
        <row r="633">
          <cell r="A633">
            <v>116</v>
          </cell>
          <cell r="D633">
            <v>100.39999999999999</v>
          </cell>
        </row>
        <row r="634">
          <cell r="A634">
            <v>117</v>
          </cell>
          <cell r="D634">
            <v>2.1</v>
          </cell>
        </row>
        <row r="635">
          <cell r="A635">
            <v>123</v>
          </cell>
          <cell r="D635">
            <v>6.2</v>
          </cell>
        </row>
        <row r="636">
          <cell r="A636">
            <v>132</v>
          </cell>
          <cell r="D636">
            <v>2.1</v>
          </cell>
        </row>
        <row r="637">
          <cell r="A637">
            <v>133</v>
          </cell>
          <cell r="D637">
            <v>0.9</v>
          </cell>
        </row>
        <row r="638">
          <cell r="A638">
            <v>137</v>
          </cell>
          <cell r="D638">
            <v>0.6</v>
          </cell>
        </row>
        <row r="639">
          <cell r="A639">
            <v>144</v>
          </cell>
          <cell r="D639">
            <v>12.5</v>
          </cell>
        </row>
        <row r="640">
          <cell r="A640">
            <v>146</v>
          </cell>
          <cell r="D640">
            <v>1</v>
          </cell>
        </row>
        <row r="641">
          <cell r="A641">
            <v>147</v>
          </cell>
          <cell r="D641">
            <v>1.7</v>
          </cell>
        </row>
        <row r="642">
          <cell r="A642">
            <v>158</v>
          </cell>
          <cell r="D642">
            <v>4.9000000000000004</v>
          </cell>
        </row>
        <row r="643">
          <cell r="A643">
            <v>159</v>
          </cell>
          <cell r="D643">
            <v>1.6</v>
          </cell>
        </row>
        <row r="644">
          <cell r="A644">
            <v>12</v>
          </cell>
          <cell r="D644">
            <v>0.6</v>
          </cell>
        </row>
        <row r="645">
          <cell r="A645">
            <v>17</v>
          </cell>
          <cell r="D645">
            <v>2.2000000000000002</v>
          </cell>
        </row>
        <row r="646">
          <cell r="A646">
            <v>23</v>
          </cell>
          <cell r="D646">
            <v>4.0999999999999996</v>
          </cell>
        </row>
        <row r="647">
          <cell r="A647">
            <v>29</v>
          </cell>
          <cell r="D647">
            <v>1.4</v>
          </cell>
        </row>
        <row r="648">
          <cell r="A648">
            <v>30</v>
          </cell>
          <cell r="D648">
            <v>1.1000000000000001</v>
          </cell>
        </row>
        <row r="649">
          <cell r="A649">
            <v>33</v>
          </cell>
          <cell r="D649">
            <v>1.9</v>
          </cell>
        </row>
        <row r="650">
          <cell r="A650">
            <v>35</v>
          </cell>
          <cell r="D650">
            <v>5.1999999999999993</v>
          </cell>
        </row>
        <row r="651">
          <cell r="A651">
            <v>38</v>
          </cell>
          <cell r="D651">
            <v>6.7</v>
          </cell>
        </row>
        <row r="652">
          <cell r="A652">
            <v>52</v>
          </cell>
          <cell r="D652">
            <v>36.800000000000004</v>
          </cell>
        </row>
        <row r="653">
          <cell r="A653">
            <v>53</v>
          </cell>
          <cell r="D653">
            <v>76.100000000000009</v>
          </cell>
        </row>
        <row r="654">
          <cell r="A654">
            <v>55</v>
          </cell>
          <cell r="D654">
            <v>9</v>
          </cell>
        </row>
        <row r="655">
          <cell r="A655">
            <v>61</v>
          </cell>
          <cell r="D655">
            <v>24</v>
          </cell>
        </row>
        <row r="656">
          <cell r="A656">
            <v>63</v>
          </cell>
          <cell r="D656">
            <v>0.9</v>
          </cell>
        </row>
        <row r="657">
          <cell r="A657">
            <v>70</v>
          </cell>
          <cell r="D657">
            <v>1.8</v>
          </cell>
        </row>
        <row r="658">
          <cell r="A658">
            <v>71</v>
          </cell>
          <cell r="D658">
            <v>1.1000000000000001</v>
          </cell>
        </row>
        <row r="659">
          <cell r="A659">
            <v>80</v>
          </cell>
          <cell r="D659">
            <v>1.2</v>
          </cell>
        </row>
        <row r="660">
          <cell r="A660">
            <v>81</v>
          </cell>
          <cell r="D660">
            <v>11.5</v>
          </cell>
        </row>
        <row r="661">
          <cell r="A661">
            <v>86</v>
          </cell>
          <cell r="D661">
            <v>0.7</v>
          </cell>
        </row>
        <row r="662">
          <cell r="A662">
            <v>87</v>
          </cell>
          <cell r="D662">
            <v>1.4</v>
          </cell>
        </row>
        <row r="663">
          <cell r="A663">
            <v>92</v>
          </cell>
          <cell r="D663">
            <v>11.9</v>
          </cell>
        </row>
        <row r="664">
          <cell r="A664">
            <v>93</v>
          </cell>
          <cell r="D664">
            <v>2.6</v>
          </cell>
        </row>
        <row r="665">
          <cell r="A665">
            <v>99</v>
          </cell>
          <cell r="D665">
            <v>2.5</v>
          </cell>
        </row>
        <row r="666">
          <cell r="A666">
            <v>100</v>
          </cell>
          <cell r="D666">
            <v>164.1</v>
          </cell>
        </row>
        <row r="667">
          <cell r="A667">
            <v>109</v>
          </cell>
          <cell r="D667">
            <v>2.9</v>
          </cell>
        </row>
        <row r="668">
          <cell r="A668">
            <v>113</v>
          </cell>
          <cell r="D668">
            <v>2.2000000000000002</v>
          </cell>
        </row>
        <row r="669">
          <cell r="A669">
            <v>116</v>
          </cell>
          <cell r="D669">
            <v>27.6</v>
          </cell>
        </row>
        <row r="670">
          <cell r="A670">
            <v>117</v>
          </cell>
          <cell r="D670">
            <v>12.7</v>
          </cell>
        </row>
        <row r="671">
          <cell r="A671">
            <v>117</v>
          </cell>
          <cell r="D671">
            <v>0.4</v>
          </cell>
        </row>
        <row r="672">
          <cell r="A672">
            <v>131</v>
          </cell>
          <cell r="D672">
            <v>4.4000000000000004</v>
          </cell>
        </row>
        <row r="673">
          <cell r="A673">
            <v>132</v>
          </cell>
          <cell r="D673">
            <v>2.9</v>
          </cell>
        </row>
        <row r="674">
          <cell r="A674">
            <v>133</v>
          </cell>
          <cell r="D674">
            <v>5.5</v>
          </cell>
        </row>
        <row r="675">
          <cell r="A675">
            <v>137</v>
          </cell>
          <cell r="D675">
            <v>3.6</v>
          </cell>
        </row>
        <row r="676">
          <cell r="A676">
            <v>140</v>
          </cell>
          <cell r="D676">
            <v>1.6</v>
          </cell>
        </row>
        <row r="677">
          <cell r="A677">
            <v>147</v>
          </cell>
          <cell r="D677">
            <v>5</v>
          </cell>
        </row>
        <row r="678">
          <cell r="A678">
            <v>158</v>
          </cell>
          <cell r="D678">
            <v>3.7</v>
          </cell>
        </row>
        <row r="679">
          <cell r="A679">
            <v>159</v>
          </cell>
          <cell r="D679">
            <v>1.2</v>
          </cell>
        </row>
        <row r="680">
          <cell r="A680">
            <v>17</v>
          </cell>
          <cell r="D680">
            <v>3.4</v>
          </cell>
        </row>
        <row r="681">
          <cell r="A681">
            <v>23</v>
          </cell>
          <cell r="D681">
            <v>1.6</v>
          </cell>
        </row>
        <row r="682">
          <cell r="A682">
            <v>29</v>
          </cell>
          <cell r="D682">
            <v>1.4</v>
          </cell>
        </row>
        <row r="683">
          <cell r="A683">
            <v>35</v>
          </cell>
          <cell r="D683">
            <v>4.0999999999999996</v>
          </cell>
        </row>
        <row r="684">
          <cell r="A684">
            <v>37</v>
          </cell>
          <cell r="D684">
            <v>3.2</v>
          </cell>
        </row>
        <row r="685">
          <cell r="A685">
            <v>38</v>
          </cell>
          <cell r="D685">
            <v>12</v>
          </cell>
        </row>
        <row r="686">
          <cell r="A686">
            <v>52</v>
          </cell>
          <cell r="D686">
            <v>13.2</v>
          </cell>
        </row>
        <row r="687">
          <cell r="A687">
            <v>53</v>
          </cell>
          <cell r="D687">
            <v>79.099999999999994</v>
          </cell>
        </row>
        <row r="688">
          <cell r="A688">
            <v>55</v>
          </cell>
          <cell r="D688">
            <v>11.9</v>
          </cell>
        </row>
        <row r="689">
          <cell r="A689">
            <v>57</v>
          </cell>
          <cell r="D689">
            <v>3.8</v>
          </cell>
        </row>
        <row r="690">
          <cell r="A690">
            <v>58</v>
          </cell>
          <cell r="D690">
            <v>6.2</v>
          </cell>
        </row>
        <row r="691">
          <cell r="A691">
            <v>61</v>
          </cell>
          <cell r="D691">
            <v>26</v>
          </cell>
        </row>
        <row r="692">
          <cell r="A692">
            <v>63</v>
          </cell>
          <cell r="D692">
            <v>0.6</v>
          </cell>
        </row>
        <row r="693">
          <cell r="A693">
            <v>71</v>
          </cell>
          <cell r="D693">
            <v>1</v>
          </cell>
        </row>
        <row r="694">
          <cell r="A694">
            <v>81</v>
          </cell>
          <cell r="D694">
            <v>3.7</v>
          </cell>
        </row>
        <row r="695">
          <cell r="A695">
            <v>88</v>
          </cell>
          <cell r="D695">
            <v>1.7</v>
          </cell>
        </row>
        <row r="696">
          <cell r="A696">
            <v>93</v>
          </cell>
          <cell r="D696">
            <v>1.3</v>
          </cell>
        </row>
        <row r="697">
          <cell r="A697">
            <v>99</v>
          </cell>
          <cell r="D697">
            <v>1.3</v>
          </cell>
        </row>
        <row r="698">
          <cell r="A698">
            <v>100</v>
          </cell>
          <cell r="D698">
            <v>111.8</v>
          </cell>
        </row>
        <row r="699">
          <cell r="A699">
            <v>102</v>
          </cell>
          <cell r="D699">
            <v>2.2000000000000002</v>
          </cell>
        </row>
        <row r="700">
          <cell r="A700">
            <v>107</v>
          </cell>
          <cell r="D700">
            <v>1.7</v>
          </cell>
        </row>
        <row r="701">
          <cell r="A701">
            <v>113</v>
          </cell>
          <cell r="D701">
            <v>1.7</v>
          </cell>
        </row>
        <row r="702">
          <cell r="A702">
            <v>116</v>
          </cell>
          <cell r="D702">
            <v>18.2</v>
          </cell>
        </row>
        <row r="703">
          <cell r="A703">
            <v>117</v>
          </cell>
          <cell r="D703">
            <v>3.9000000000000004</v>
          </cell>
        </row>
        <row r="704">
          <cell r="A704">
            <v>122</v>
          </cell>
          <cell r="D704">
            <v>7.7</v>
          </cell>
        </row>
        <row r="705">
          <cell r="A705">
            <v>133</v>
          </cell>
          <cell r="D705">
            <v>20.399999999999999</v>
          </cell>
        </row>
        <row r="706">
          <cell r="A706">
            <v>137</v>
          </cell>
          <cell r="D706">
            <v>14.399999999999999</v>
          </cell>
        </row>
        <row r="707">
          <cell r="A707">
            <v>147</v>
          </cell>
          <cell r="D707">
            <v>1.6</v>
          </cell>
        </row>
        <row r="708">
          <cell r="A708">
            <v>153</v>
          </cell>
          <cell r="D708">
            <v>3.5</v>
          </cell>
        </row>
        <row r="709">
          <cell r="A709">
            <v>12</v>
          </cell>
          <cell r="D709">
            <v>0.7</v>
          </cell>
        </row>
        <row r="710">
          <cell r="A710">
            <v>23</v>
          </cell>
          <cell r="D710">
            <v>5</v>
          </cell>
        </row>
        <row r="711">
          <cell r="A711">
            <v>29</v>
          </cell>
          <cell r="D711">
            <v>6.5</v>
          </cell>
        </row>
        <row r="712">
          <cell r="A712">
            <v>30</v>
          </cell>
          <cell r="D712">
            <v>2.5</v>
          </cell>
        </row>
        <row r="713">
          <cell r="A713">
            <v>35</v>
          </cell>
          <cell r="D713">
            <v>4.0999999999999996</v>
          </cell>
        </row>
        <row r="714">
          <cell r="A714">
            <v>38</v>
          </cell>
          <cell r="D714">
            <v>9</v>
          </cell>
        </row>
        <row r="715">
          <cell r="A715">
            <v>52</v>
          </cell>
          <cell r="D715">
            <v>8.1</v>
          </cell>
        </row>
        <row r="716">
          <cell r="A716">
            <v>53</v>
          </cell>
          <cell r="D716">
            <v>58.900000000000006</v>
          </cell>
        </row>
        <row r="717">
          <cell r="A717">
            <v>55</v>
          </cell>
          <cell r="D717">
            <v>2.2999999999999998</v>
          </cell>
        </row>
        <row r="718">
          <cell r="A718">
            <v>61</v>
          </cell>
          <cell r="D718">
            <v>91.5</v>
          </cell>
        </row>
        <row r="719">
          <cell r="A719">
            <v>63</v>
          </cell>
          <cell r="D719">
            <v>2.4</v>
          </cell>
        </row>
        <row r="720">
          <cell r="A720">
            <v>70</v>
          </cell>
          <cell r="D720">
            <v>1.9</v>
          </cell>
        </row>
        <row r="721">
          <cell r="A721">
            <v>80</v>
          </cell>
          <cell r="D721">
            <v>3.1</v>
          </cell>
        </row>
        <row r="722">
          <cell r="A722">
            <v>81</v>
          </cell>
          <cell r="D722">
            <v>0.8</v>
          </cell>
        </row>
        <row r="723">
          <cell r="A723">
            <v>88</v>
          </cell>
          <cell r="D723">
            <v>18</v>
          </cell>
        </row>
        <row r="724">
          <cell r="A724">
            <v>107</v>
          </cell>
          <cell r="D724">
            <v>20.2</v>
          </cell>
        </row>
        <row r="725">
          <cell r="A725">
            <v>109</v>
          </cell>
          <cell r="D725">
            <v>1.5</v>
          </cell>
        </row>
        <row r="726">
          <cell r="A726">
            <v>112</v>
          </cell>
          <cell r="D726">
            <v>2</v>
          </cell>
        </row>
        <row r="727">
          <cell r="A727">
            <v>113</v>
          </cell>
          <cell r="D727">
            <v>1.9</v>
          </cell>
        </row>
        <row r="728">
          <cell r="A728">
            <v>116</v>
          </cell>
          <cell r="D728">
            <v>201.2</v>
          </cell>
        </row>
        <row r="729">
          <cell r="A729">
            <v>117</v>
          </cell>
          <cell r="D729">
            <v>1.5</v>
          </cell>
        </row>
        <row r="730">
          <cell r="A730">
            <v>119</v>
          </cell>
          <cell r="D730">
            <v>5</v>
          </cell>
        </row>
        <row r="731">
          <cell r="A731">
            <v>122</v>
          </cell>
          <cell r="D731">
            <v>2.9</v>
          </cell>
        </row>
        <row r="732">
          <cell r="A732">
            <v>133</v>
          </cell>
          <cell r="D732">
            <v>4.4000000000000004</v>
          </cell>
        </row>
        <row r="733">
          <cell r="A733">
            <v>137</v>
          </cell>
          <cell r="D733">
            <v>12.6</v>
          </cell>
        </row>
        <row r="734">
          <cell r="A734">
            <v>140</v>
          </cell>
          <cell r="D734">
            <v>3.3</v>
          </cell>
        </row>
        <row r="735">
          <cell r="A735">
            <v>144</v>
          </cell>
          <cell r="D735">
            <v>11.9</v>
          </cell>
        </row>
        <row r="736">
          <cell r="A736">
            <v>146</v>
          </cell>
          <cell r="D736">
            <v>1.5</v>
          </cell>
        </row>
        <row r="737">
          <cell r="A737">
            <v>153</v>
          </cell>
          <cell r="D737">
            <v>1.2</v>
          </cell>
        </row>
        <row r="738">
          <cell r="A738">
            <v>154</v>
          </cell>
          <cell r="D738">
            <v>1.8</v>
          </cell>
        </row>
        <row r="739">
          <cell r="A739">
            <v>158</v>
          </cell>
          <cell r="D739">
            <v>5.5</v>
          </cell>
        </row>
        <row r="740">
          <cell r="A740">
            <v>159</v>
          </cell>
          <cell r="D740">
            <v>2</v>
          </cell>
        </row>
        <row r="741">
          <cell r="A741">
            <v>23</v>
          </cell>
          <cell r="D741">
            <v>5.5</v>
          </cell>
        </row>
        <row r="742">
          <cell r="A742">
            <v>29</v>
          </cell>
          <cell r="D742">
            <v>5.0999999999999996</v>
          </cell>
        </row>
        <row r="743">
          <cell r="A743">
            <v>30</v>
          </cell>
          <cell r="D743">
            <v>3.8</v>
          </cell>
        </row>
        <row r="744">
          <cell r="A744">
            <v>33</v>
          </cell>
          <cell r="D744">
            <v>1.6</v>
          </cell>
        </row>
        <row r="745">
          <cell r="A745">
            <v>35</v>
          </cell>
          <cell r="D745">
            <v>3.4</v>
          </cell>
        </row>
        <row r="746">
          <cell r="A746">
            <v>38</v>
          </cell>
          <cell r="D746">
            <v>6.9</v>
          </cell>
        </row>
        <row r="747">
          <cell r="A747">
            <v>52</v>
          </cell>
          <cell r="D747">
            <v>12.1</v>
          </cell>
        </row>
        <row r="748">
          <cell r="A748">
            <v>53</v>
          </cell>
          <cell r="D748">
            <v>109.6</v>
          </cell>
        </row>
        <row r="749">
          <cell r="A749">
            <v>55</v>
          </cell>
          <cell r="D749">
            <v>9.9</v>
          </cell>
        </row>
        <row r="750">
          <cell r="A750">
            <v>57</v>
          </cell>
          <cell r="D750">
            <v>4.8</v>
          </cell>
        </row>
        <row r="751">
          <cell r="A751">
            <v>61</v>
          </cell>
          <cell r="D751">
            <v>81.800000000000011</v>
          </cell>
        </row>
        <row r="752">
          <cell r="A752">
            <v>64</v>
          </cell>
          <cell r="D752">
            <v>0.9</v>
          </cell>
        </row>
        <row r="753">
          <cell r="A753">
            <v>71</v>
          </cell>
          <cell r="D753">
            <v>2.2999999999999998</v>
          </cell>
        </row>
        <row r="754">
          <cell r="A754">
            <v>80</v>
          </cell>
          <cell r="D754">
            <v>1.5</v>
          </cell>
        </row>
        <row r="755">
          <cell r="A755">
            <v>87</v>
          </cell>
          <cell r="D755">
            <v>1.4</v>
          </cell>
        </row>
        <row r="756">
          <cell r="A756">
            <v>93</v>
          </cell>
          <cell r="D756">
            <v>0.7</v>
          </cell>
        </row>
        <row r="757">
          <cell r="A757">
            <v>99</v>
          </cell>
          <cell r="D757">
            <v>5.2</v>
          </cell>
        </row>
        <row r="758">
          <cell r="A758">
            <v>107</v>
          </cell>
          <cell r="D758">
            <v>3.9</v>
          </cell>
        </row>
        <row r="759">
          <cell r="A759">
            <v>109</v>
          </cell>
          <cell r="D759">
            <v>2</v>
          </cell>
        </row>
        <row r="760">
          <cell r="A760">
            <v>112</v>
          </cell>
          <cell r="D760">
            <v>4.0999999999999996</v>
          </cell>
        </row>
        <row r="761">
          <cell r="A761">
            <v>113</v>
          </cell>
          <cell r="D761">
            <v>0.9</v>
          </cell>
        </row>
        <row r="762">
          <cell r="A762">
            <v>116</v>
          </cell>
          <cell r="D762">
            <v>60.8</v>
          </cell>
        </row>
        <row r="763">
          <cell r="A763">
            <v>117</v>
          </cell>
          <cell r="D763">
            <v>4.5999999999999996</v>
          </cell>
        </row>
        <row r="764">
          <cell r="A764">
            <v>122</v>
          </cell>
          <cell r="D764">
            <v>3.5</v>
          </cell>
        </row>
        <row r="765">
          <cell r="A765">
            <v>136</v>
          </cell>
          <cell r="D765">
            <v>1</v>
          </cell>
        </row>
        <row r="766">
          <cell r="A766">
            <v>137</v>
          </cell>
          <cell r="D766">
            <v>1</v>
          </cell>
        </row>
        <row r="767">
          <cell r="A767">
            <v>158</v>
          </cell>
          <cell r="D767">
            <v>1.3</v>
          </cell>
        </row>
        <row r="768">
          <cell r="A768">
            <v>12</v>
          </cell>
          <cell r="D768">
            <v>2.2999999999999998</v>
          </cell>
        </row>
        <row r="769">
          <cell r="A769">
            <v>29</v>
          </cell>
          <cell r="D769">
            <v>2</v>
          </cell>
        </row>
        <row r="770">
          <cell r="A770">
            <v>30</v>
          </cell>
          <cell r="D770">
            <v>1.5</v>
          </cell>
        </row>
        <row r="771">
          <cell r="A771">
            <v>33</v>
          </cell>
          <cell r="D771">
            <v>2.1</v>
          </cell>
        </row>
        <row r="772">
          <cell r="A772">
            <v>38</v>
          </cell>
          <cell r="D772">
            <v>1.6</v>
          </cell>
        </row>
        <row r="773">
          <cell r="A773">
            <v>52</v>
          </cell>
          <cell r="D773">
            <v>12.799999999999999</v>
          </cell>
        </row>
        <row r="774">
          <cell r="A774">
            <v>53</v>
          </cell>
          <cell r="D774">
            <v>100.2</v>
          </cell>
        </row>
        <row r="775">
          <cell r="A775">
            <v>55</v>
          </cell>
          <cell r="D775">
            <v>5.6</v>
          </cell>
        </row>
        <row r="776">
          <cell r="A776">
            <v>57</v>
          </cell>
          <cell r="D776">
            <v>2.1</v>
          </cell>
        </row>
        <row r="777">
          <cell r="A777">
            <v>61</v>
          </cell>
          <cell r="D777">
            <v>11</v>
          </cell>
        </row>
        <row r="778">
          <cell r="A778">
            <v>63</v>
          </cell>
          <cell r="D778">
            <v>1.6</v>
          </cell>
        </row>
        <row r="779">
          <cell r="A779">
            <v>70</v>
          </cell>
          <cell r="D779">
            <v>1.3</v>
          </cell>
        </row>
        <row r="780">
          <cell r="A780">
            <v>80</v>
          </cell>
          <cell r="D780">
            <v>0.9</v>
          </cell>
        </row>
        <row r="781">
          <cell r="A781">
            <v>81</v>
          </cell>
          <cell r="D781">
            <v>5.4</v>
          </cell>
        </row>
        <row r="782">
          <cell r="A782">
            <v>87</v>
          </cell>
          <cell r="D782">
            <v>9</v>
          </cell>
        </row>
        <row r="783">
          <cell r="A783">
            <v>88</v>
          </cell>
          <cell r="D783">
            <v>2.4</v>
          </cell>
        </row>
        <row r="784">
          <cell r="A784">
            <v>93</v>
          </cell>
          <cell r="D784">
            <v>4</v>
          </cell>
        </row>
        <row r="785">
          <cell r="A785">
            <v>99</v>
          </cell>
          <cell r="D785">
            <v>5.2</v>
          </cell>
        </row>
        <row r="786">
          <cell r="A786">
            <v>107</v>
          </cell>
          <cell r="D786">
            <v>16</v>
          </cell>
        </row>
        <row r="787">
          <cell r="A787">
            <v>107</v>
          </cell>
          <cell r="D787">
            <v>1</v>
          </cell>
        </row>
        <row r="788">
          <cell r="A788">
            <v>113</v>
          </cell>
          <cell r="D788">
            <v>1.3</v>
          </cell>
        </row>
        <row r="789">
          <cell r="A789">
            <v>116</v>
          </cell>
          <cell r="D789">
            <v>78.7</v>
          </cell>
        </row>
        <row r="790">
          <cell r="A790">
            <v>117</v>
          </cell>
          <cell r="D790">
            <v>1.7</v>
          </cell>
        </row>
        <row r="791">
          <cell r="A791">
            <v>122</v>
          </cell>
          <cell r="D791">
            <v>3.7</v>
          </cell>
        </row>
        <row r="792">
          <cell r="A792">
            <v>132</v>
          </cell>
          <cell r="D792">
            <v>4</v>
          </cell>
        </row>
        <row r="793">
          <cell r="A793">
            <v>133</v>
          </cell>
          <cell r="D793">
            <v>0.4</v>
          </cell>
        </row>
        <row r="794">
          <cell r="A794">
            <v>140</v>
          </cell>
          <cell r="D794">
            <v>1.9</v>
          </cell>
        </row>
        <row r="795">
          <cell r="A795">
            <v>144</v>
          </cell>
          <cell r="D795">
            <v>5.2</v>
          </cell>
        </row>
        <row r="796">
          <cell r="A796">
            <v>146</v>
          </cell>
          <cell r="D796">
            <v>2.2999999999999998</v>
          </cell>
        </row>
        <row r="797">
          <cell r="A797">
            <v>154</v>
          </cell>
          <cell r="D797">
            <v>2.5</v>
          </cell>
        </row>
        <row r="798">
          <cell r="A798">
            <v>158</v>
          </cell>
          <cell r="D798">
            <v>2.5</v>
          </cell>
        </row>
        <row r="799">
          <cell r="A799">
            <v>159</v>
          </cell>
          <cell r="D799">
            <v>2.9</v>
          </cell>
        </row>
        <row r="800">
          <cell r="A800">
            <v>4</v>
          </cell>
          <cell r="D800">
            <v>1.5</v>
          </cell>
        </row>
        <row r="801">
          <cell r="A801">
            <v>5</v>
          </cell>
          <cell r="D801">
            <v>2</v>
          </cell>
        </row>
        <row r="802">
          <cell r="A802">
            <v>12</v>
          </cell>
          <cell r="D802">
            <v>0.8</v>
          </cell>
        </row>
        <row r="803">
          <cell r="A803">
            <v>17</v>
          </cell>
          <cell r="D803">
            <v>1.9</v>
          </cell>
        </row>
        <row r="804">
          <cell r="A804">
            <v>23</v>
          </cell>
          <cell r="D804">
            <v>3.8</v>
          </cell>
        </row>
        <row r="805">
          <cell r="A805">
            <v>28</v>
          </cell>
          <cell r="D805">
            <v>1.2</v>
          </cell>
        </row>
        <row r="806">
          <cell r="A806">
            <v>29</v>
          </cell>
          <cell r="D806">
            <v>2.9</v>
          </cell>
        </row>
        <row r="807">
          <cell r="A807">
            <v>30</v>
          </cell>
          <cell r="D807">
            <v>0.8</v>
          </cell>
        </row>
        <row r="808">
          <cell r="A808">
            <v>30</v>
          </cell>
          <cell r="D808">
            <v>1.3</v>
          </cell>
        </row>
        <row r="809">
          <cell r="A809">
            <v>35</v>
          </cell>
          <cell r="D809">
            <v>10.8</v>
          </cell>
        </row>
        <row r="810">
          <cell r="A810">
            <v>37</v>
          </cell>
          <cell r="D810">
            <v>1.2</v>
          </cell>
        </row>
        <row r="811">
          <cell r="A811">
            <v>38</v>
          </cell>
          <cell r="D811">
            <v>3.1</v>
          </cell>
        </row>
        <row r="812">
          <cell r="A812">
            <v>46</v>
          </cell>
          <cell r="D812">
            <v>10.3</v>
          </cell>
        </row>
        <row r="813">
          <cell r="A813">
            <v>53</v>
          </cell>
          <cell r="D813">
            <v>97.8</v>
          </cell>
        </row>
        <row r="814">
          <cell r="A814">
            <v>57</v>
          </cell>
          <cell r="D814">
            <v>5.6</v>
          </cell>
        </row>
        <row r="815">
          <cell r="A815">
            <v>57</v>
          </cell>
          <cell r="D815">
            <v>3.8</v>
          </cell>
        </row>
        <row r="816">
          <cell r="A816">
            <v>61</v>
          </cell>
          <cell r="D816">
            <v>204.2</v>
          </cell>
        </row>
        <row r="817">
          <cell r="A817">
            <v>67</v>
          </cell>
          <cell r="D817">
            <v>2</v>
          </cell>
        </row>
        <row r="818">
          <cell r="A818">
            <v>70</v>
          </cell>
          <cell r="D818">
            <v>1.5</v>
          </cell>
        </row>
        <row r="819">
          <cell r="A819">
            <v>71</v>
          </cell>
          <cell r="D819">
            <v>1.5</v>
          </cell>
        </row>
        <row r="820">
          <cell r="A820">
            <v>81</v>
          </cell>
          <cell r="D820">
            <v>1.1000000000000001</v>
          </cell>
        </row>
        <row r="821">
          <cell r="A821">
            <v>86</v>
          </cell>
          <cell r="D821">
            <v>4</v>
          </cell>
        </row>
        <row r="822">
          <cell r="A822">
            <v>88</v>
          </cell>
          <cell r="D822">
            <v>1.2</v>
          </cell>
        </row>
        <row r="823">
          <cell r="A823">
            <v>92</v>
          </cell>
          <cell r="D823">
            <v>6.2</v>
          </cell>
        </row>
        <row r="824">
          <cell r="A824">
            <v>99</v>
          </cell>
          <cell r="D824">
            <v>1.4</v>
          </cell>
        </row>
        <row r="825">
          <cell r="A825">
            <v>100</v>
          </cell>
          <cell r="D825">
            <v>6.8</v>
          </cell>
        </row>
        <row r="826">
          <cell r="A826">
            <v>106</v>
          </cell>
          <cell r="D826">
            <v>4.3</v>
          </cell>
        </row>
        <row r="827">
          <cell r="A827">
            <v>107</v>
          </cell>
          <cell r="D827">
            <v>1</v>
          </cell>
        </row>
        <row r="828">
          <cell r="A828">
            <v>109</v>
          </cell>
          <cell r="D828">
            <v>1.2</v>
          </cell>
        </row>
        <row r="829">
          <cell r="A829">
            <v>112</v>
          </cell>
          <cell r="D829">
            <v>4.4000000000000004</v>
          </cell>
        </row>
        <row r="830">
          <cell r="A830">
            <v>113</v>
          </cell>
          <cell r="D830">
            <v>1.3</v>
          </cell>
        </row>
        <row r="831">
          <cell r="A831">
            <v>116</v>
          </cell>
          <cell r="D831">
            <v>19.3</v>
          </cell>
        </row>
        <row r="832">
          <cell r="A832">
            <v>117</v>
          </cell>
          <cell r="D832">
            <v>3.6</v>
          </cell>
        </row>
        <row r="833">
          <cell r="A833">
            <v>131</v>
          </cell>
          <cell r="D833">
            <v>1.5</v>
          </cell>
        </row>
        <row r="834">
          <cell r="A834">
            <v>132</v>
          </cell>
          <cell r="D834">
            <v>1.9000000000000001</v>
          </cell>
        </row>
        <row r="835">
          <cell r="A835">
            <v>133</v>
          </cell>
          <cell r="D835">
            <v>5.2</v>
          </cell>
        </row>
        <row r="836">
          <cell r="A836">
            <v>140</v>
          </cell>
          <cell r="D836">
            <v>0.8</v>
          </cell>
        </row>
        <row r="837">
          <cell r="A837">
            <v>146</v>
          </cell>
          <cell r="D837">
            <v>0.7</v>
          </cell>
        </row>
        <row r="838">
          <cell r="A838">
            <v>2</v>
          </cell>
          <cell r="D838">
            <v>2.8</v>
          </cell>
        </row>
        <row r="839">
          <cell r="A839">
            <v>5</v>
          </cell>
          <cell r="D839">
            <v>1.4</v>
          </cell>
        </row>
        <row r="840">
          <cell r="A840">
            <v>12</v>
          </cell>
          <cell r="D840">
            <v>4.9000000000000004</v>
          </cell>
        </row>
        <row r="841">
          <cell r="A841">
            <v>23</v>
          </cell>
          <cell r="D841">
            <v>2.2000000000000002</v>
          </cell>
        </row>
        <row r="842">
          <cell r="A842">
            <v>29</v>
          </cell>
          <cell r="D842">
            <v>1.7</v>
          </cell>
        </row>
        <row r="843">
          <cell r="A843">
            <v>30</v>
          </cell>
          <cell r="D843">
            <v>1.9</v>
          </cell>
        </row>
        <row r="844">
          <cell r="A844">
            <v>35</v>
          </cell>
          <cell r="D844">
            <v>3.3</v>
          </cell>
        </row>
        <row r="845">
          <cell r="A845">
            <v>53</v>
          </cell>
          <cell r="D845">
            <v>76.8</v>
          </cell>
        </row>
        <row r="846">
          <cell r="A846">
            <v>55</v>
          </cell>
          <cell r="D846">
            <v>6.7</v>
          </cell>
        </row>
        <row r="847">
          <cell r="A847">
            <v>61</v>
          </cell>
          <cell r="D847">
            <v>47.8</v>
          </cell>
        </row>
        <row r="848">
          <cell r="A848">
            <v>63</v>
          </cell>
          <cell r="D848">
            <v>1.3</v>
          </cell>
        </row>
        <row r="849">
          <cell r="A849">
            <v>64</v>
          </cell>
          <cell r="D849">
            <v>2.7</v>
          </cell>
        </row>
        <row r="850">
          <cell r="A850">
            <v>70</v>
          </cell>
          <cell r="D850">
            <v>2.6</v>
          </cell>
        </row>
        <row r="851">
          <cell r="A851">
            <v>71</v>
          </cell>
          <cell r="D851">
            <v>2.1</v>
          </cell>
        </row>
        <row r="852">
          <cell r="A852">
            <v>81</v>
          </cell>
          <cell r="D852">
            <v>3.2</v>
          </cell>
        </row>
        <row r="853">
          <cell r="A853">
            <v>86</v>
          </cell>
          <cell r="D853">
            <v>1.1000000000000001</v>
          </cell>
        </row>
        <row r="854">
          <cell r="A854">
            <v>88</v>
          </cell>
          <cell r="D854">
            <v>1.6</v>
          </cell>
        </row>
        <row r="855">
          <cell r="A855">
            <v>100</v>
          </cell>
          <cell r="D855">
            <v>14.5</v>
          </cell>
        </row>
        <row r="856">
          <cell r="A856">
            <v>109</v>
          </cell>
          <cell r="D856">
            <v>3</v>
          </cell>
        </row>
        <row r="857">
          <cell r="A857">
            <v>116</v>
          </cell>
          <cell r="D857">
            <v>86.9</v>
          </cell>
        </row>
        <row r="858">
          <cell r="A858">
            <v>116</v>
          </cell>
          <cell r="D858">
            <v>161.1</v>
          </cell>
        </row>
        <row r="859">
          <cell r="A859">
            <v>117</v>
          </cell>
          <cell r="D859">
            <v>2.4</v>
          </cell>
        </row>
        <row r="860">
          <cell r="A860">
            <v>117</v>
          </cell>
          <cell r="D860">
            <v>2.4</v>
          </cell>
        </row>
        <row r="861">
          <cell r="A861">
            <v>132</v>
          </cell>
          <cell r="D861">
            <v>1.2</v>
          </cell>
        </row>
        <row r="862">
          <cell r="A862">
            <v>133</v>
          </cell>
          <cell r="D862">
            <v>1.8</v>
          </cell>
        </row>
        <row r="863">
          <cell r="A863">
            <v>137</v>
          </cell>
          <cell r="D863">
            <v>2.6</v>
          </cell>
        </row>
        <row r="864">
          <cell r="A864">
            <v>140</v>
          </cell>
          <cell r="D864">
            <v>1.2</v>
          </cell>
        </row>
        <row r="865">
          <cell r="A865">
            <v>144</v>
          </cell>
          <cell r="D865">
            <v>8.3000000000000007</v>
          </cell>
        </row>
        <row r="866">
          <cell r="A866">
            <v>146</v>
          </cell>
          <cell r="D866">
            <v>0.5</v>
          </cell>
        </row>
        <row r="867">
          <cell r="A867">
            <v>153</v>
          </cell>
          <cell r="D867">
            <v>2.7</v>
          </cell>
        </row>
        <row r="868">
          <cell r="A868">
            <v>159</v>
          </cell>
          <cell r="D868">
            <v>2.4</v>
          </cell>
        </row>
        <row r="869">
          <cell r="A869">
            <v>2</v>
          </cell>
          <cell r="D869">
            <v>1.8</v>
          </cell>
        </row>
        <row r="870">
          <cell r="A870">
            <v>12</v>
          </cell>
          <cell r="D870">
            <v>4</v>
          </cell>
        </row>
        <row r="871">
          <cell r="A871">
            <v>28</v>
          </cell>
          <cell r="D871">
            <v>1.5</v>
          </cell>
        </row>
        <row r="872">
          <cell r="A872">
            <v>29</v>
          </cell>
          <cell r="D872">
            <v>3.3</v>
          </cell>
        </row>
        <row r="873">
          <cell r="A873">
            <v>30</v>
          </cell>
          <cell r="D873">
            <v>0.9</v>
          </cell>
        </row>
        <row r="874">
          <cell r="A874">
            <v>30</v>
          </cell>
          <cell r="D874">
            <v>1.2</v>
          </cell>
        </row>
        <row r="875">
          <cell r="A875">
            <v>33</v>
          </cell>
          <cell r="D875">
            <v>1.9</v>
          </cell>
        </row>
        <row r="876">
          <cell r="A876">
            <v>35</v>
          </cell>
          <cell r="D876">
            <v>3.2</v>
          </cell>
        </row>
        <row r="877">
          <cell r="A877">
            <v>38</v>
          </cell>
          <cell r="D877">
            <v>2.1</v>
          </cell>
        </row>
        <row r="878">
          <cell r="A878">
            <v>52</v>
          </cell>
          <cell r="D878">
            <v>24.9</v>
          </cell>
        </row>
        <row r="879">
          <cell r="A879">
            <v>53</v>
          </cell>
          <cell r="D879">
            <v>149.4</v>
          </cell>
        </row>
        <row r="880">
          <cell r="A880">
            <v>55</v>
          </cell>
          <cell r="D880">
            <v>2.1</v>
          </cell>
        </row>
        <row r="881">
          <cell r="A881">
            <v>61</v>
          </cell>
          <cell r="D881">
            <v>170.8</v>
          </cell>
        </row>
        <row r="882">
          <cell r="A882">
            <v>70</v>
          </cell>
          <cell r="D882">
            <v>2.2000000000000002</v>
          </cell>
        </row>
        <row r="883">
          <cell r="A883">
            <v>71</v>
          </cell>
          <cell r="D883">
            <v>0.8</v>
          </cell>
        </row>
        <row r="884">
          <cell r="A884">
            <v>81</v>
          </cell>
          <cell r="D884">
            <v>0.8</v>
          </cell>
        </row>
        <row r="885">
          <cell r="A885">
            <v>87</v>
          </cell>
          <cell r="D885">
            <v>1.2</v>
          </cell>
        </row>
        <row r="886">
          <cell r="A886">
            <v>88</v>
          </cell>
          <cell r="D886">
            <v>1.4</v>
          </cell>
        </row>
        <row r="887">
          <cell r="A887">
            <v>99</v>
          </cell>
          <cell r="D887">
            <v>5</v>
          </cell>
        </row>
        <row r="888">
          <cell r="A888">
            <v>100</v>
          </cell>
          <cell r="D888">
            <v>102.89999999999999</v>
          </cell>
        </row>
        <row r="889">
          <cell r="A889">
            <v>107</v>
          </cell>
          <cell r="D889">
            <v>3.7</v>
          </cell>
        </row>
        <row r="890">
          <cell r="A890">
            <v>109</v>
          </cell>
          <cell r="D890">
            <v>3.8</v>
          </cell>
        </row>
        <row r="891">
          <cell r="A891">
            <v>112</v>
          </cell>
          <cell r="D891">
            <v>3.6</v>
          </cell>
        </row>
        <row r="892">
          <cell r="A892">
            <v>113</v>
          </cell>
          <cell r="D892">
            <v>4</v>
          </cell>
        </row>
        <row r="893">
          <cell r="A893">
            <v>116</v>
          </cell>
          <cell r="D893">
            <v>16.600000000000001</v>
          </cell>
        </row>
        <row r="894">
          <cell r="A894">
            <v>117</v>
          </cell>
          <cell r="D894">
            <v>1.5</v>
          </cell>
        </row>
        <row r="895">
          <cell r="A895">
            <v>117</v>
          </cell>
          <cell r="D895">
            <v>3</v>
          </cell>
        </row>
        <row r="896">
          <cell r="A896">
            <v>132</v>
          </cell>
          <cell r="D896">
            <v>0.9</v>
          </cell>
        </row>
        <row r="897">
          <cell r="A897">
            <v>140</v>
          </cell>
          <cell r="D897">
            <v>1.7</v>
          </cell>
        </row>
        <row r="898">
          <cell r="A898">
            <v>158</v>
          </cell>
          <cell r="D898">
            <v>5.6</v>
          </cell>
        </row>
        <row r="899">
          <cell r="A899">
            <v>159</v>
          </cell>
          <cell r="D899">
            <v>1.9</v>
          </cell>
        </row>
        <row r="900">
          <cell r="A900">
            <v>4</v>
          </cell>
          <cell r="D900">
            <v>1.9</v>
          </cell>
        </row>
        <row r="901">
          <cell r="A901">
            <v>12</v>
          </cell>
          <cell r="D901">
            <v>2</v>
          </cell>
        </row>
        <row r="902">
          <cell r="A902">
            <v>23</v>
          </cell>
          <cell r="D902">
            <v>9.5</v>
          </cell>
        </row>
        <row r="903">
          <cell r="A903">
            <v>28</v>
          </cell>
          <cell r="D903">
            <v>6.7</v>
          </cell>
        </row>
        <row r="904">
          <cell r="A904">
            <v>29</v>
          </cell>
          <cell r="D904">
            <v>2.2999999999999998</v>
          </cell>
        </row>
        <row r="905">
          <cell r="A905">
            <v>33</v>
          </cell>
          <cell r="D905">
            <v>4.0999999999999996</v>
          </cell>
        </row>
        <row r="906">
          <cell r="A906">
            <v>35</v>
          </cell>
          <cell r="D906">
            <v>5.6</v>
          </cell>
        </row>
        <row r="907">
          <cell r="A907">
            <v>38</v>
          </cell>
          <cell r="D907">
            <v>21</v>
          </cell>
        </row>
        <row r="908">
          <cell r="A908">
            <v>38</v>
          </cell>
          <cell r="D908">
            <v>1</v>
          </cell>
        </row>
        <row r="909">
          <cell r="A909">
            <v>52</v>
          </cell>
          <cell r="D909">
            <v>6.2</v>
          </cell>
        </row>
        <row r="910">
          <cell r="A910">
            <v>53</v>
          </cell>
          <cell r="D910">
            <v>96.2</v>
          </cell>
        </row>
        <row r="911">
          <cell r="A911">
            <v>55</v>
          </cell>
          <cell r="D911">
            <v>4</v>
          </cell>
        </row>
        <row r="912">
          <cell r="A912">
            <v>61</v>
          </cell>
          <cell r="D912">
            <v>90.8</v>
          </cell>
        </row>
        <row r="913">
          <cell r="A913">
            <v>63</v>
          </cell>
          <cell r="D913">
            <v>1.6</v>
          </cell>
        </row>
        <row r="914">
          <cell r="A914">
            <v>70</v>
          </cell>
          <cell r="D914">
            <v>1.6</v>
          </cell>
        </row>
        <row r="915">
          <cell r="A915">
            <v>71</v>
          </cell>
          <cell r="D915">
            <v>22.8</v>
          </cell>
        </row>
        <row r="916">
          <cell r="A916">
            <v>80</v>
          </cell>
          <cell r="D916">
            <v>5.7</v>
          </cell>
        </row>
        <row r="917">
          <cell r="A917">
            <v>81</v>
          </cell>
          <cell r="D917">
            <v>7.2</v>
          </cell>
        </row>
        <row r="918">
          <cell r="A918">
            <v>86</v>
          </cell>
          <cell r="D918">
            <v>1.3</v>
          </cell>
        </row>
        <row r="919">
          <cell r="A919">
            <v>88</v>
          </cell>
          <cell r="D919">
            <v>3.5</v>
          </cell>
        </row>
        <row r="920">
          <cell r="A920">
            <v>93</v>
          </cell>
          <cell r="D920">
            <v>2.7</v>
          </cell>
        </row>
        <row r="921">
          <cell r="A921">
            <v>99</v>
          </cell>
          <cell r="D921">
            <v>13.2</v>
          </cell>
        </row>
        <row r="922">
          <cell r="A922">
            <v>102</v>
          </cell>
          <cell r="D922">
            <v>1.4</v>
          </cell>
        </row>
        <row r="923">
          <cell r="A923">
            <v>107</v>
          </cell>
          <cell r="D923">
            <v>0.7</v>
          </cell>
        </row>
        <row r="924">
          <cell r="A924">
            <v>109</v>
          </cell>
          <cell r="D924">
            <v>4.3</v>
          </cell>
        </row>
        <row r="925">
          <cell r="A925">
            <v>113</v>
          </cell>
          <cell r="D925">
            <v>2.6</v>
          </cell>
        </row>
        <row r="926">
          <cell r="A926">
            <v>116</v>
          </cell>
          <cell r="D926">
            <v>104.6</v>
          </cell>
        </row>
        <row r="927">
          <cell r="A927">
            <v>119</v>
          </cell>
          <cell r="D927">
            <v>2.2000000000000002</v>
          </cell>
        </row>
        <row r="928">
          <cell r="A928">
            <v>120</v>
          </cell>
          <cell r="D928">
            <v>4.3</v>
          </cell>
        </row>
        <row r="929">
          <cell r="A929">
            <v>122</v>
          </cell>
          <cell r="D929">
            <v>21.6</v>
          </cell>
        </row>
        <row r="930">
          <cell r="A930">
            <v>127</v>
          </cell>
          <cell r="D930">
            <v>0.5</v>
          </cell>
        </row>
        <row r="931">
          <cell r="A931">
            <v>132</v>
          </cell>
          <cell r="D931">
            <v>0.6</v>
          </cell>
        </row>
        <row r="932">
          <cell r="A932">
            <v>132</v>
          </cell>
          <cell r="D932">
            <v>1.4</v>
          </cell>
        </row>
        <row r="933">
          <cell r="A933">
            <v>137</v>
          </cell>
          <cell r="D933">
            <v>5.9</v>
          </cell>
        </row>
        <row r="934">
          <cell r="A934">
            <v>137</v>
          </cell>
          <cell r="D934">
            <v>3</v>
          </cell>
        </row>
        <row r="935">
          <cell r="A935">
            <v>140</v>
          </cell>
          <cell r="D935">
            <v>2.4</v>
          </cell>
        </row>
        <row r="936">
          <cell r="A936">
            <v>159</v>
          </cell>
          <cell r="D936">
            <v>1.5</v>
          </cell>
        </row>
        <row r="937">
          <cell r="A937">
            <v>4</v>
          </cell>
          <cell r="D937">
            <v>2.2999999999999998</v>
          </cell>
        </row>
        <row r="938">
          <cell r="A938">
            <v>5</v>
          </cell>
          <cell r="D938">
            <v>1.8</v>
          </cell>
        </row>
        <row r="939">
          <cell r="A939">
            <v>12</v>
          </cell>
          <cell r="D939">
            <v>1</v>
          </cell>
        </row>
        <row r="940">
          <cell r="A940">
            <v>17</v>
          </cell>
          <cell r="D940">
            <v>0.2</v>
          </cell>
        </row>
        <row r="941">
          <cell r="A941">
            <v>28</v>
          </cell>
          <cell r="D941">
            <v>5.9</v>
          </cell>
        </row>
        <row r="942">
          <cell r="A942">
            <v>29</v>
          </cell>
          <cell r="D942">
            <v>3.4</v>
          </cell>
        </row>
        <row r="943">
          <cell r="A943">
            <v>33</v>
          </cell>
          <cell r="D943">
            <v>10.4</v>
          </cell>
        </row>
        <row r="944">
          <cell r="A944">
            <v>35</v>
          </cell>
          <cell r="D944">
            <v>2.2000000000000002</v>
          </cell>
        </row>
        <row r="945">
          <cell r="A945">
            <v>38</v>
          </cell>
          <cell r="D945">
            <v>3.4</v>
          </cell>
        </row>
        <row r="946">
          <cell r="A946">
            <v>53</v>
          </cell>
          <cell r="D946">
            <v>84.600000000000009</v>
          </cell>
        </row>
        <row r="947">
          <cell r="A947">
            <v>55</v>
          </cell>
          <cell r="D947">
            <v>21.3</v>
          </cell>
        </row>
        <row r="948">
          <cell r="A948">
            <v>57</v>
          </cell>
          <cell r="D948">
            <v>6.1</v>
          </cell>
        </row>
        <row r="949">
          <cell r="A949">
            <v>61</v>
          </cell>
          <cell r="D949">
            <v>122.19999999999999</v>
          </cell>
        </row>
        <row r="950">
          <cell r="A950">
            <v>63</v>
          </cell>
          <cell r="D950">
            <v>1.5</v>
          </cell>
        </row>
        <row r="951">
          <cell r="A951">
            <v>70</v>
          </cell>
          <cell r="D951">
            <v>2.4</v>
          </cell>
        </row>
        <row r="952">
          <cell r="A952">
            <v>71</v>
          </cell>
          <cell r="D952">
            <v>2.1</v>
          </cell>
        </row>
        <row r="953">
          <cell r="A953">
            <v>80</v>
          </cell>
          <cell r="D953">
            <v>3.9</v>
          </cell>
        </row>
        <row r="954">
          <cell r="A954">
            <v>81</v>
          </cell>
          <cell r="D954">
            <v>4.5999999999999996</v>
          </cell>
        </row>
        <row r="955">
          <cell r="A955">
            <v>86</v>
          </cell>
          <cell r="D955">
            <v>0.6</v>
          </cell>
        </row>
        <row r="956">
          <cell r="A956">
            <v>87</v>
          </cell>
          <cell r="D956">
            <v>1.4</v>
          </cell>
        </row>
        <row r="957">
          <cell r="A957">
            <v>88</v>
          </cell>
          <cell r="D957">
            <v>1.9</v>
          </cell>
        </row>
        <row r="958">
          <cell r="A958">
            <v>92</v>
          </cell>
          <cell r="D958">
            <v>4.2</v>
          </cell>
        </row>
        <row r="959">
          <cell r="A959">
            <v>99</v>
          </cell>
          <cell r="D959">
            <v>1.4</v>
          </cell>
        </row>
        <row r="960">
          <cell r="A960">
            <v>102</v>
          </cell>
          <cell r="D960">
            <v>9.9</v>
          </cell>
        </row>
        <row r="961">
          <cell r="A961">
            <v>102</v>
          </cell>
          <cell r="D961">
            <v>1.1000000000000001</v>
          </cell>
        </row>
        <row r="962">
          <cell r="A962">
            <v>112</v>
          </cell>
          <cell r="D962">
            <v>8.6999999999999993</v>
          </cell>
        </row>
        <row r="963">
          <cell r="A963">
            <v>113</v>
          </cell>
          <cell r="D963">
            <v>6.2</v>
          </cell>
        </row>
        <row r="964">
          <cell r="A964">
            <v>116</v>
          </cell>
          <cell r="D964">
            <v>27</v>
          </cell>
        </row>
        <row r="965">
          <cell r="A965">
            <v>117</v>
          </cell>
          <cell r="D965">
            <v>0.6</v>
          </cell>
        </row>
        <row r="966">
          <cell r="A966">
            <v>137</v>
          </cell>
          <cell r="D966">
            <v>0.6</v>
          </cell>
        </row>
        <row r="967">
          <cell r="A967">
            <v>140</v>
          </cell>
          <cell r="D967">
            <v>3.8</v>
          </cell>
        </row>
        <row r="968">
          <cell r="A968">
            <v>144</v>
          </cell>
          <cell r="D968">
            <v>6.3</v>
          </cell>
        </row>
        <row r="969">
          <cell r="A969">
            <v>147</v>
          </cell>
          <cell r="D969">
            <v>12.2</v>
          </cell>
        </row>
        <row r="970">
          <cell r="A970">
            <v>159</v>
          </cell>
          <cell r="D970">
            <v>1</v>
          </cell>
        </row>
        <row r="971">
          <cell r="A971">
            <v>4</v>
          </cell>
          <cell r="D971">
            <v>2.8</v>
          </cell>
        </row>
        <row r="972">
          <cell r="A972">
            <v>5</v>
          </cell>
          <cell r="D972">
            <v>2</v>
          </cell>
        </row>
        <row r="973">
          <cell r="A973">
            <v>12</v>
          </cell>
          <cell r="D973">
            <v>5.7</v>
          </cell>
        </row>
        <row r="974">
          <cell r="A974">
            <v>17</v>
          </cell>
          <cell r="D974">
            <v>5.7</v>
          </cell>
        </row>
        <row r="975">
          <cell r="A975">
            <v>23</v>
          </cell>
          <cell r="D975">
            <v>2.9</v>
          </cell>
        </row>
        <row r="976">
          <cell r="A976">
            <v>28</v>
          </cell>
          <cell r="D976">
            <v>2.2000000000000002</v>
          </cell>
        </row>
        <row r="977">
          <cell r="A977">
            <v>29</v>
          </cell>
          <cell r="D977">
            <v>2.4</v>
          </cell>
        </row>
        <row r="978">
          <cell r="A978">
            <v>30</v>
          </cell>
          <cell r="D978">
            <v>5.5</v>
          </cell>
        </row>
        <row r="979">
          <cell r="A979">
            <v>33</v>
          </cell>
          <cell r="D979">
            <v>111</v>
          </cell>
        </row>
        <row r="980">
          <cell r="A980">
            <v>38</v>
          </cell>
          <cell r="D980">
            <v>2.1</v>
          </cell>
        </row>
        <row r="981">
          <cell r="A981">
            <v>52</v>
          </cell>
          <cell r="D981">
            <v>4.7</v>
          </cell>
        </row>
        <row r="982">
          <cell r="A982">
            <v>53</v>
          </cell>
          <cell r="D982">
            <v>64.900000000000006</v>
          </cell>
        </row>
        <row r="983">
          <cell r="A983">
            <v>55</v>
          </cell>
          <cell r="D983">
            <v>3.3</v>
          </cell>
        </row>
        <row r="984">
          <cell r="A984">
            <v>61</v>
          </cell>
          <cell r="D984">
            <v>82.7</v>
          </cell>
        </row>
        <row r="985">
          <cell r="A985">
            <v>63</v>
          </cell>
          <cell r="D985">
            <v>1</v>
          </cell>
        </row>
        <row r="986">
          <cell r="A986">
            <v>70</v>
          </cell>
          <cell r="D986">
            <v>1</v>
          </cell>
        </row>
        <row r="987">
          <cell r="A987">
            <v>71</v>
          </cell>
          <cell r="D987">
            <v>0.9</v>
          </cell>
        </row>
        <row r="988">
          <cell r="A988">
            <v>80</v>
          </cell>
          <cell r="D988">
            <v>1.9</v>
          </cell>
        </row>
        <row r="989">
          <cell r="A989">
            <v>81</v>
          </cell>
          <cell r="D989">
            <v>3.47</v>
          </cell>
        </row>
        <row r="990">
          <cell r="A990">
            <v>86</v>
          </cell>
          <cell r="D990">
            <v>0.5</v>
          </cell>
        </row>
        <row r="991">
          <cell r="A991">
            <v>87</v>
          </cell>
          <cell r="D991">
            <v>0.6</v>
          </cell>
        </row>
        <row r="992">
          <cell r="A992">
            <v>88</v>
          </cell>
          <cell r="D992">
            <v>1.5</v>
          </cell>
        </row>
        <row r="993">
          <cell r="A993">
            <v>93</v>
          </cell>
          <cell r="D993">
            <v>1.7</v>
          </cell>
        </row>
        <row r="994">
          <cell r="A994">
            <v>99</v>
          </cell>
          <cell r="D994">
            <v>1.7</v>
          </cell>
        </row>
        <row r="995">
          <cell r="A995">
            <v>100</v>
          </cell>
          <cell r="D995">
            <v>1.4</v>
          </cell>
        </row>
        <row r="996">
          <cell r="A996">
            <v>107</v>
          </cell>
          <cell r="D996">
            <v>0.8</v>
          </cell>
        </row>
        <row r="997">
          <cell r="A997">
            <v>113</v>
          </cell>
          <cell r="D997">
            <v>10.9</v>
          </cell>
        </row>
        <row r="998">
          <cell r="A998">
            <v>116</v>
          </cell>
          <cell r="D998">
            <v>4.0999999999999996</v>
          </cell>
        </row>
        <row r="999">
          <cell r="A999">
            <v>116</v>
          </cell>
          <cell r="D999">
            <v>13.1</v>
          </cell>
        </row>
        <row r="1000">
          <cell r="A1000">
            <v>120</v>
          </cell>
          <cell r="D1000">
            <v>3.3</v>
          </cell>
        </row>
        <row r="1001">
          <cell r="A1001">
            <v>122</v>
          </cell>
          <cell r="D1001">
            <v>1.8</v>
          </cell>
        </row>
        <row r="1002">
          <cell r="A1002">
            <v>132</v>
          </cell>
          <cell r="D1002">
            <v>2.1</v>
          </cell>
        </row>
        <row r="1003">
          <cell r="A1003">
            <v>133</v>
          </cell>
          <cell r="D1003">
            <v>0.5</v>
          </cell>
        </row>
        <row r="1004">
          <cell r="A1004">
            <v>136</v>
          </cell>
          <cell r="D1004">
            <v>1.1000000000000001</v>
          </cell>
        </row>
        <row r="1005">
          <cell r="A1005">
            <v>137</v>
          </cell>
          <cell r="D1005">
            <v>18</v>
          </cell>
        </row>
        <row r="1006">
          <cell r="A1006">
            <v>140</v>
          </cell>
          <cell r="D1006">
            <v>1.8</v>
          </cell>
        </row>
        <row r="1007">
          <cell r="A1007">
            <v>144</v>
          </cell>
          <cell r="D1007">
            <v>1.6</v>
          </cell>
        </row>
        <row r="1008">
          <cell r="A1008">
            <v>147</v>
          </cell>
          <cell r="D1008">
            <v>2.2000000000000002</v>
          </cell>
        </row>
        <row r="1009">
          <cell r="A1009">
            <v>12</v>
          </cell>
          <cell r="D1009">
            <v>1.7</v>
          </cell>
        </row>
        <row r="1010">
          <cell r="A1010">
            <v>23</v>
          </cell>
          <cell r="D1010">
            <v>1.4</v>
          </cell>
        </row>
        <row r="1011">
          <cell r="A1011">
            <v>33</v>
          </cell>
          <cell r="D1011">
            <v>3</v>
          </cell>
        </row>
        <row r="1012">
          <cell r="A1012">
            <v>35</v>
          </cell>
          <cell r="D1012">
            <v>6.2</v>
          </cell>
        </row>
        <row r="1013">
          <cell r="A1013">
            <v>38</v>
          </cell>
          <cell r="D1013">
            <v>5</v>
          </cell>
        </row>
        <row r="1014">
          <cell r="A1014">
            <v>38</v>
          </cell>
          <cell r="D1014">
            <v>1.7</v>
          </cell>
        </row>
        <row r="1015">
          <cell r="A1015">
            <v>53</v>
          </cell>
          <cell r="D1015">
            <v>125.1</v>
          </cell>
        </row>
        <row r="1016">
          <cell r="A1016">
            <v>55</v>
          </cell>
          <cell r="D1016">
            <v>1.1000000000000001</v>
          </cell>
        </row>
        <row r="1017">
          <cell r="A1017">
            <v>55</v>
          </cell>
          <cell r="D1017">
            <v>5.9</v>
          </cell>
        </row>
        <row r="1018">
          <cell r="A1018">
            <v>61</v>
          </cell>
          <cell r="D1018">
            <v>139.80000000000001</v>
          </cell>
        </row>
        <row r="1019">
          <cell r="A1019">
            <v>61</v>
          </cell>
          <cell r="D1019">
            <v>1.2</v>
          </cell>
        </row>
        <row r="1020">
          <cell r="A1020">
            <v>63</v>
          </cell>
          <cell r="D1020">
            <v>0.7</v>
          </cell>
        </row>
        <row r="1021">
          <cell r="A1021">
            <v>70</v>
          </cell>
          <cell r="D1021">
            <v>3.2</v>
          </cell>
        </row>
        <row r="1022">
          <cell r="A1022">
            <v>71</v>
          </cell>
          <cell r="D1022">
            <v>1.2</v>
          </cell>
        </row>
        <row r="1023">
          <cell r="A1023">
            <v>80</v>
          </cell>
          <cell r="D1023">
            <v>6.5</v>
          </cell>
        </row>
        <row r="1024">
          <cell r="A1024">
            <v>81</v>
          </cell>
          <cell r="D1024">
            <v>0.5</v>
          </cell>
        </row>
        <row r="1025">
          <cell r="A1025">
            <v>87</v>
          </cell>
          <cell r="D1025">
            <v>0.5</v>
          </cell>
        </row>
        <row r="1026">
          <cell r="A1026">
            <v>92</v>
          </cell>
          <cell r="D1026">
            <v>1</v>
          </cell>
        </row>
        <row r="1027">
          <cell r="A1027">
            <v>99</v>
          </cell>
          <cell r="D1027">
            <v>2.4</v>
          </cell>
        </row>
        <row r="1028">
          <cell r="A1028">
            <v>100</v>
          </cell>
          <cell r="D1028">
            <v>1.4</v>
          </cell>
        </row>
        <row r="1029">
          <cell r="A1029">
            <v>102</v>
          </cell>
          <cell r="D1029">
            <v>2.5</v>
          </cell>
        </row>
        <row r="1030">
          <cell r="A1030">
            <v>107</v>
          </cell>
          <cell r="D1030">
            <v>5.8</v>
          </cell>
        </row>
        <row r="1031">
          <cell r="A1031">
            <v>109</v>
          </cell>
          <cell r="D1031">
            <v>1</v>
          </cell>
        </row>
        <row r="1032">
          <cell r="A1032">
            <v>113</v>
          </cell>
          <cell r="D1032">
            <v>6.8</v>
          </cell>
        </row>
        <row r="1033">
          <cell r="A1033">
            <v>116</v>
          </cell>
          <cell r="D1033">
            <v>5</v>
          </cell>
        </row>
        <row r="1034">
          <cell r="A1034">
            <v>122</v>
          </cell>
          <cell r="D1034">
            <v>1.4</v>
          </cell>
        </row>
        <row r="1035">
          <cell r="A1035">
            <v>123</v>
          </cell>
          <cell r="D1035">
            <v>4.2</v>
          </cell>
        </row>
        <row r="1036">
          <cell r="A1036">
            <v>131</v>
          </cell>
          <cell r="D1036">
            <v>1</v>
          </cell>
        </row>
        <row r="1037">
          <cell r="A1037">
            <v>132</v>
          </cell>
          <cell r="D1037">
            <v>1.8</v>
          </cell>
        </row>
        <row r="1038">
          <cell r="A1038">
            <v>137</v>
          </cell>
          <cell r="D1038">
            <v>0.9</v>
          </cell>
        </row>
        <row r="1039">
          <cell r="A1039">
            <v>140</v>
          </cell>
          <cell r="D1039">
            <v>2.5</v>
          </cell>
        </row>
        <row r="1040">
          <cell r="A1040">
            <v>147</v>
          </cell>
          <cell r="D1040">
            <v>2.8</v>
          </cell>
        </row>
        <row r="1041">
          <cell r="A1041">
            <v>4</v>
          </cell>
          <cell r="D1041">
            <v>1.7</v>
          </cell>
        </row>
        <row r="1042">
          <cell r="A1042">
            <v>5</v>
          </cell>
          <cell r="D1042">
            <v>2.6</v>
          </cell>
        </row>
        <row r="1043">
          <cell r="A1043">
            <v>17</v>
          </cell>
          <cell r="D1043">
            <v>0.5</v>
          </cell>
        </row>
        <row r="1044">
          <cell r="A1044">
            <v>17</v>
          </cell>
          <cell r="D1044">
            <v>2.6</v>
          </cell>
        </row>
        <row r="1045">
          <cell r="A1045">
            <v>23</v>
          </cell>
          <cell r="D1045">
            <v>3.5</v>
          </cell>
        </row>
        <row r="1046">
          <cell r="A1046">
            <v>29</v>
          </cell>
          <cell r="D1046">
            <v>3.5</v>
          </cell>
        </row>
        <row r="1047">
          <cell r="A1047">
            <v>30</v>
          </cell>
          <cell r="D1047">
            <v>2.1</v>
          </cell>
        </row>
        <row r="1048">
          <cell r="A1048">
            <v>35</v>
          </cell>
          <cell r="D1048">
            <v>4.5999999999999996</v>
          </cell>
        </row>
        <row r="1049">
          <cell r="A1049">
            <v>38</v>
          </cell>
          <cell r="D1049">
            <v>2.9</v>
          </cell>
        </row>
        <row r="1050">
          <cell r="A1050">
            <v>52</v>
          </cell>
          <cell r="D1050">
            <v>4.0999999999999996</v>
          </cell>
        </row>
        <row r="1051">
          <cell r="A1051">
            <v>53</v>
          </cell>
          <cell r="D1051">
            <v>84.5</v>
          </cell>
        </row>
        <row r="1052">
          <cell r="A1052">
            <v>55</v>
          </cell>
          <cell r="D1052">
            <v>3.7</v>
          </cell>
        </row>
        <row r="1053">
          <cell r="A1053">
            <v>58</v>
          </cell>
          <cell r="D1053">
            <v>1</v>
          </cell>
        </row>
        <row r="1054">
          <cell r="A1054">
            <v>58</v>
          </cell>
          <cell r="D1054">
            <v>1.1000000000000001</v>
          </cell>
        </row>
        <row r="1055">
          <cell r="A1055">
            <v>61</v>
          </cell>
          <cell r="D1055">
            <v>75.3</v>
          </cell>
        </row>
        <row r="1056">
          <cell r="A1056">
            <v>64</v>
          </cell>
          <cell r="D1056">
            <v>1.1000000000000001</v>
          </cell>
        </row>
        <row r="1057">
          <cell r="A1057">
            <v>70</v>
          </cell>
          <cell r="D1057">
            <v>1.5</v>
          </cell>
        </row>
        <row r="1058">
          <cell r="A1058">
            <v>71</v>
          </cell>
          <cell r="D1058">
            <v>1.1000000000000001</v>
          </cell>
        </row>
        <row r="1059">
          <cell r="A1059">
            <v>80</v>
          </cell>
          <cell r="D1059">
            <v>10.3</v>
          </cell>
        </row>
        <row r="1060">
          <cell r="A1060">
            <v>81</v>
          </cell>
          <cell r="D1060">
            <v>5.9</v>
          </cell>
        </row>
        <row r="1061">
          <cell r="A1061">
            <v>86</v>
          </cell>
          <cell r="D1061">
            <v>2.2000000000000002</v>
          </cell>
        </row>
        <row r="1062">
          <cell r="A1062">
            <v>87</v>
          </cell>
          <cell r="D1062">
            <v>0.8</v>
          </cell>
        </row>
        <row r="1063">
          <cell r="A1063">
            <v>88</v>
          </cell>
          <cell r="D1063">
            <v>0.7</v>
          </cell>
        </row>
        <row r="1064">
          <cell r="A1064">
            <v>93</v>
          </cell>
          <cell r="D1064">
            <v>2.2999999999999998</v>
          </cell>
        </row>
        <row r="1065">
          <cell r="A1065">
            <v>106</v>
          </cell>
          <cell r="D1065">
            <v>5.2</v>
          </cell>
        </row>
        <row r="1066">
          <cell r="A1066">
            <v>107</v>
          </cell>
          <cell r="D1066">
            <v>2.7</v>
          </cell>
        </row>
        <row r="1067">
          <cell r="A1067">
            <v>113</v>
          </cell>
          <cell r="D1067">
            <v>3.4</v>
          </cell>
        </row>
        <row r="1068">
          <cell r="A1068">
            <v>113</v>
          </cell>
          <cell r="D1068">
            <v>1.2</v>
          </cell>
        </row>
        <row r="1069">
          <cell r="A1069">
            <v>116</v>
          </cell>
          <cell r="D1069">
            <v>20.399999999999999</v>
          </cell>
        </row>
        <row r="1070">
          <cell r="A1070">
            <v>118</v>
          </cell>
          <cell r="D1070">
            <v>0.4</v>
          </cell>
        </row>
        <row r="1071">
          <cell r="A1071">
            <v>123</v>
          </cell>
          <cell r="D1071">
            <v>1.7</v>
          </cell>
        </row>
        <row r="1072">
          <cell r="A1072">
            <v>132</v>
          </cell>
          <cell r="D1072">
            <v>0.6</v>
          </cell>
        </row>
        <row r="1073">
          <cell r="A1073">
            <v>137</v>
          </cell>
          <cell r="D1073">
            <v>6.4</v>
          </cell>
        </row>
        <row r="1074">
          <cell r="A1074">
            <v>144</v>
          </cell>
          <cell r="D1074">
            <v>6.6</v>
          </cell>
        </row>
        <row r="1075">
          <cell r="A1075">
            <v>147</v>
          </cell>
          <cell r="D1075">
            <v>3.8</v>
          </cell>
        </row>
        <row r="1076">
          <cell r="A1076">
            <v>4</v>
          </cell>
          <cell r="D1076">
            <v>2.1</v>
          </cell>
        </row>
        <row r="1077">
          <cell r="A1077">
            <v>5</v>
          </cell>
          <cell r="D1077">
            <v>1.6</v>
          </cell>
        </row>
        <row r="1078">
          <cell r="A1078">
            <v>12</v>
          </cell>
          <cell r="D1078">
            <v>2.7</v>
          </cell>
        </row>
        <row r="1079">
          <cell r="A1079">
            <v>17</v>
          </cell>
          <cell r="D1079">
            <v>0.4</v>
          </cell>
        </row>
        <row r="1080">
          <cell r="A1080">
            <v>23</v>
          </cell>
          <cell r="D1080">
            <v>1</v>
          </cell>
        </row>
        <row r="1081">
          <cell r="A1081">
            <v>28</v>
          </cell>
          <cell r="D1081">
            <v>2.5</v>
          </cell>
        </row>
        <row r="1082">
          <cell r="A1082">
            <v>29</v>
          </cell>
          <cell r="D1082">
            <v>2.4</v>
          </cell>
        </row>
        <row r="1083">
          <cell r="A1083">
            <v>30</v>
          </cell>
          <cell r="D1083">
            <v>2.6</v>
          </cell>
        </row>
        <row r="1084">
          <cell r="A1084">
            <v>33</v>
          </cell>
          <cell r="D1084">
            <v>1.1000000000000001</v>
          </cell>
        </row>
        <row r="1085">
          <cell r="A1085">
            <v>35</v>
          </cell>
          <cell r="D1085">
            <v>4.4000000000000004</v>
          </cell>
        </row>
        <row r="1086">
          <cell r="A1086">
            <v>38</v>
          </cell>
          <cell r="D1086">
            <v>4</v>
          </cell>
        </row>
        <row r="1087">
          <cell r="A1087">
            <v>53</v>
          </cell>
          <cell r="D1087">
            <v>91.7</v>
          </cell>
        </row>
        <row r="1088">
          <cell r="A1088">
            <v>55</v>
          </cell>
          <cell r="D1088">
            <v>8.3000000000000007</v>
          </cell>
        </row>
        <row r="1089">
          <cell r="A1089">
            <v>57</v>
          </cell>
          <cell r="D1089">
            <v>2.1</v>
          </cell>
        </row>
        <row r="1090">
          <cell r="A1090">
            <v>57</v>
          </cell>
          <cell r="D1090">
            <v>19.399999999999999</v>
          </cell>
        </row>
        <row r="1091">
          <cell r="A1091">
            <v>61</v>
          </cell>
          <cell r="D1091">
            <v>72</v>
          </cell>
        </row>
        <row r="1092">
          <cell r="A1092">
            <v>63</v>
          </cell>
          <cell r="D1092">
            <v>0.9</v>
          </cell>
        </row>
        <row r="1093">
          <cell r="A1093">
            <v>70</v>
          </cell>
          <cell r="D1093">
            <v>1.3</v>
          </cell>
        </row>
        <row r="1094">
          <cell r="A1094">
            <v>71</v>
          </cell>
          <cell r="D1094">
            <v>1.6</v>
          </cell>
        </row>
        <row r="1095">
          <cell r="A1095">
            <v>80</v>
          </cell>
          <cell r="D1095">
            <v>11.4</v>
          </cell>
        </row>
        <row r="1096">
          <cell r="A1096">
            <v>81</v>
          </cell>
          <cell r="D1096">
            <v>5.6</v>
          </cell>
        </row>
        <row r="1097">
          <cell r="A1097">
            <v>86</v>
          </cell>
          <cell r="D1097">
            <v>2</v>
          </cell>
        </row>
        <row r="1098">
          <cell r="A1098">
            <v>87</v>
          </cell>
          <cell r="D1098">
            <v>0.8</v>
          </cell>
        </row>
        <row r="1099">
          <cell r="A1099">
            <v>88</v>
          </cell>
          <cell r="D1099">
            <v>2.2000000000000002</v>
          </cell>
        </row>
        <row r="1100">
          <cell r="A1100">
            <v>93</v>
          </cell>
          <cell r="D1100">
            <v>0.8</v>
          </cell>
        </row>
        <row r="1101">
          <cell r="A1101">
            <v>109</v>
          </cell>
          <cell r="D1101">
            <v>2.4</v>
          </cell>
        </row>
        <row r="1102">
          <cell r="A1102">
            <v>113</v>
          </cell>
          <cell r="D1102">
            <v>5.4</v>
          </cell>
        </row>
        <row r="1103">
          <cell r="A1103">
            <v>116</v>
          </cell>
          <cell r="D1103">
            <v>42.7</v>
          </cell>
        </row>
        <row r="1104">
          <cell r="A1104">
            <v>117</v>
          </cell>
          <cell r="D1104">
            <v>2.5</v>
          </cell>
        </row>
        <row r="1105">
          <cell r="A1105">
            <v>133</v>
          </cell>
          <cell r="D1105">
            <v>4.8</v>
          </cell>
        </row>
        <row r="1106">
          <cell r="A1106">
            <v>137</v>
          </cell>
          <cell r="D1106">
            <v>17.899999999999999</v>
          </cell>
        </row>
        <row r="1107">
          <cell r="A1107">
            <v>147</v>
          </cell>
          <cell r="D1107">
            <v>1.8</v>
          </cell>
        </row>
        <row r="1108">
          <cell r="A1108">
            <v>153</v>
          </cell>
          <cell r="D1108">
            <v>2.2999999999999998</v>
          </cell>
        </row>
        <row r="1109">
          <cell r="A1109">
            <v>12</v>
          </cell>
          <cell r="D1109">
            <v>1.1000000000000001</v>
          </cell>
        </row>
        <row r="1110">
          <cell r="A1110">
            <v>17</v>
          </cell>
          <cell r="D1110">
            <v>0.3</v>
          </cell>
        </row>
        <row r="1111">
          <cell r="A1111">
            <v>17</v>
          </cell>
          <cell r="D1111">
            <v>2.2999999999999998</v>
          </cell>
        </row>
        <row r="1112">
          <cell r="A1112">
            <v>17</v>
          </cell>
          <cell r="D1112">
            <v>0.3</v>
          </cell>
        </row>
        <row r="1113">
          <cell r="A1113">
            <v>23</v>
          </cell>
          <cell r="D1113">
            <v>2</v>
          </cell>
        </row>
        <row r="1114">
          <cell r="A1114">
            <v>29</v>
          </cell>
          <cell r="D1114">
            <v>6.2</v>
          </cell>
        </row>
        <row r="1115">
          <cell r="A1115">
            <v>30</v>
          </cell>
          <cell r="D1115">
            <v>16.5</v>
          </cell>
        </row>
        <row r="1116">
          <cell r="A1116">
            <v>30</v>
          </cell>
          <cell r="D1116">
            <v>2.7</v>
          </cell>
        </row>
        <row r="1117">
          <cell r="A1117">
            <v>35</v>
          </cell>
          <cell r="D1117">
            <v>2.6</v>
          </cell>
        </row>
        <row r="1118">
          <cell r="A1118">
            <v>38</v>
          </cell>
          <cell r="D1118">
            <v>5.7</v>
          </cell>
        </row>
        <row r="1119">
          <cell r="A1119">
            <v>53</v>
          </cell>
          <cell r="D1119">
            <v>234.4</v>
          </cell>
        </row>
        <row r="1120">
          <cell r="A1120">
            <v>55</v>
          </cell>
          <cell r="D1120">
            <v>8.6999999999999993</v>
          </cell>
        </row>
        <row r="1121">
          <cell r="A1121">
            <v>56</v>
          </cell>
          <cell r="D1121">
            <v>0.3</v>
          </cell>
        </row>
        <row r="1122">
          <cell r="A1122">
            <v>61</v>
          </cell>
          <cell r="D1122">
            <v>89</v>
          </cell>
        </row>
        <row r="1123">
          <cell r="A1123">
            <v>70</v>
          </cell>
          <cell r="D1123">
            <v>1.2</v>
          </cell>
        </row>
        <row r="1124">
          <cell r="A1124">
            <v>71</v>
          </cell>
          <cell r="D1124">
            <v>1.1000000000000001</v>
          </cell>
        </row>
        <row r="1125">
          <cell r="A1125">
            <v>79</v>
          </cell>
          <cell r="D1125">
            <v>0.8</v>
          </cell>
        </row>
        <row r="1126">
          <cell r="A1126">
            <v>80</v>
          </cell>
          <cell r="D1126">
            <v>10.6</v>
          </cell>
        </row>
        <row r="1127">
          <cell r="A1127">
            <v>81</v>
          </cell>
          <cell r="D1127">
            <v>3.9</v>
          </cell>
        </row>
        <row r="1128">
          <cell r="A1128">
            <v>87</v>
          </cell>
          <cell r="D1128">
            <v>0.9</v>
          </cell>
        </row>
        <row r="1129">
          <cell r="A1129">
            <v>88</v>
          </cell>
          <cell r="D1129">
            <v>2.2999999999999998</v>
          </cell>
        </row>
        <row r="1130">
          <cell r="A1130">
            <v>93</v>
          </cell>
          <cell r="D1130">
            <v>3.5</v>
          </cell>
        </row>
        <row r="1131">
          <cell r="A1131">
            <v>107</v>
          </cell>
          <cell r="D1131">
            <v>1.6</v>
          </cell>
        </row>
        <row r="1132">
          <cell r="A1132">
            <v>109</v>
          </cell>
          <cell r="D1132">
            <v>2.4</v>
          </cell>
        </row>
        <row r="1133">
          <cell r="A1133">
            <v>113</v>
          </cell>
          <cell r="D1133">
            <v>5.5</v>
          </cell>
        </row>
        <row r="1134">
          <cell r="A1134">
            <v>116</v>
          </cell>
          <cell r="D1134">
            <v>25.1</v>
          </cell>
        </row>
        <row r="1135">
          <cell r="A1135">
            <v>116</v>
          </cell>
          <cell r="D1135">
            <v>7.1</v>
          </cell>
        </row>
        <row r="1136">
          <cell r="A1136">
            <v>117</v>
          </cell>
          <cell r="D1136">
            <v>1.6</v>
          </cell>
        </row>
        <row r="1137">
          <cell r="A1137">
            <v>118</v>
          </cell>
          <cell r="D1137">
            <v>2.6</v>
          </cell>
        </row>
        <row r="1138">
          <cell r="A1138">
            <v>119</v>
          </cell>
          <cell r="D1138">
            <v>1.6</v>
          </cell>
        </row>
        <row r="1139">
          <cell r="A1139">
            <v>122</v>
          </cell>
          <cell r="D1139">
            <v>1.2</v>
          </cell>
        </row>
        <row r="1140">
          <cell r="A1140">
            <v>123</v>
          </cell>
          <cell r="D1140">
            <v>1.4</v>
          </cell>
        </row>
        <row r="1141">
          <cell r="A1141">
            <v>132</v>
          </cell>
          <cell r="D1141">
            <v>0.7</v>
          </cell>
        </row>
        <row r="1142">
          <cell r="A1142">
            <v>137</v>
          </cell>
          <cell r="D1142">
            <v>27.8</v>
          </cell>
        </row>
        <row r="1143">
          <cell r="A1143">
            <v>144</v>
          </cell>
          <cell r="D1143">
            <v>6.2</v>
          </cell>
        </row>
        <row r="1144">
          <cell r="A1144">
            <v>147</v>
          </cell>
          <cell r="D1144">
            <v>0.8</v>
          </cell>
        </row>
        <row r="1145">
          <cell r="A1145">
            <v>5</v>
          </cell>
          <cell r="D1145">
            <v>2.6</v>
          </cell>
        </row>
        <row r="1146">
          <cell r="A1146">
            <v>12</v>
          </cell>
          <cell r="D1146">
            <v>1.3</v>
          </cell>
        </row>
        <row r="1147">
          <cell r="A1147">
            <v>17</v>
          </cell>
          <cell r="D1147">
            <v>2.9</v>
          </cell>
        </row>
        <row r="1148">
          <cell r="A1148">
            <v>23</v>
          </cell>
          <cell r="D1148">
            <v>3.9</v>
          </cell>
        </row>
        <row r="1149">
          <cell r="A1149">
            <v>28</v>
          </cell>
          <cell r="D1149">
            <v>1.3</v>
          </cell>
        </row>
        <row r="1150">
          <cell r="A1150">
            <v>29</v>
          </cell>
          <cell r="D1150">
            <v>1.1000000000000001</v>
          </cell>
        </row>
        <row r="1151">
          <cell r="A1151">
            <v>30</v>
          </cell>
          <cell r="D1151">
            <v>1.5</v>
          </cell>
        </row>
        <row r="1152">
          <cell r="A1152">
            <v>35</v>
          </cell>
          <cell r="D1152">
            <v>3</v>
          </cell>
        </row>
        <row r="1153">
          <cell r="A1153">
            <v>38</v>
          </cell>
          <cell r="D1153">
            <v>3.9</v>
          </cell>
        </row>
        <row r="1154">
          <cell r="A1154">
            <v>53</v>
          </cell>
          <cell r="D1154">
            <v>119.7</v>
          </cell>
        </row>
        <row r="1155">
          <cell r="A1155">
            <v>55</v>
          </cell>
          <cell r="D1155">
            <v>2.7</v>
          </cell>
        </row>
        <row r="1156">
          <cell r="A1156">
            <v>57</v>
          </cell>
          <cell r="D1156">
            <v>2.1</v>
          </cell>
        </row>
        <row r="1157">
          <cell r="A1157">
            <v>58</v>
          </cell>
          <cell r="D1157">
            <v>4.3</v>
          </cell>
        </row>
        <row r="1158">
          <cell r="A1158">
            <v>61</v>
          </cell>
          <cell r="D1158">
            <v>85.5</v>
          </cell>
        </row>
        <row r="1159">
          <cell r="A1159">
            <v>63</v>
          </cell>
          <cell r="D1159">
            <v>1.5</v>
          </cell>
        </row>
        <row r="1160">
          <cell r="A1160">
            <v>70</v>
          </cell>
          <cell r="D1160">
            <v>2.8</v>
          </cell>
        </row>
        <row r="1161">
          <cell r="A1161">
            <v>71</v>
          </cell>
          <cell r="D1161">
            <v>1.1000000000000001</v>
          </cell>
        </row>
        <row r="1162">
          <cell r="A1162">
            <v>81</v>
          </cell>
          <cell r="D1162">
            <v>1.3</v>
          </cell>
        </row>
        <row r="1163">
          <cell r="A1163">
            <v>88</v>
          </cell>
          <cell r="D1163">
            <v>1.8</v>
          </cell>
        </row>
        <row r="1164">
          <cell r="A1164">
            <v>107</v>
          </cell>
          <cell r="D1164">
            <v>1</v>
          </cell>
        </row>
        <row r="1165">
          <cell r="A1165">
            <v>109</v>
          </cell>
          <cell r="D1165">
            <v>1.1000000000000001</v>
          </cell>
        </row>
        <row r="1166">
          <cell r="A1166">
            <v>112</v>
          </cell>
          <cell r="D1166">
            <v>6.3</v>
          </cell>
        </row>
        <row r="1167">
          <cell r="A1167">
            <v>113</v>
          </cell>
          <cell r="D1167">
            <v>1.4</v>
          </cell>
        </row>
        <row r="1168">
          <cell r="A1168">
            <v>116</v>
          </cell>
          <cell r="D1168">
            <v>28.8</v>
          </cell>
        </row>
        <row r="1169">
          <cell r="A1169">
            <v>132</v>
          </cell>
          <cell r="D1169">
            <v>0.8</v>
          </cell>
        </row>
        <row r="1170">
          <cell r="A1170">
            <v>133</v>
          </cell>
          <cell r="D1170">
            <v>4.3</v>
          </cell>
        </row>
        <row r="1171">
          <cell r="A1171">
            <v>140</v>
          </cell>
          <cell r="D1171">
            <v>2.8</v>
          </cell>
        </row>
        <row r="1172">
          <cell r="A1172">
            <v>147</v>
          </cell>
          <cell r="D1172">
            <v>2.1</v>
          </cell>
        </row>
        <row r="1173">
          <cell r="A1173">
            <v>153</v>
          </cell>
          <cell r="D1173">
            <v>2.2999999999999998</v>
          </cell>
        </row>
        <row r="1174">
          <cell r="A1174">
            <v>154</v>
          </cell>
          <cell r="D1174">
            <v>0.5</v>
          </cell>
        </row>
        <row r="1175">
          <cell r="A1175">
            <v>4</v>
          </cell>
          <cell r="D1175">
            <v>2.1</v>
          </cell>
        </row>
        <row r="1176">
          <cell r="A1176">
            <v>12</v>
          </cell>
          <cell r="D1176">
            <v>1.7</v>
          </cell>
        </row>
        <row r="1177">
          <cell r="A1177">
            <v>17</v>
          </cell>
          <cell r="D1177">
            <v>1.2</v>
          </cell>
        </row>
        <row r="1178">
          <cell r="A1178">
            <v>23</v>
          </cell>
          <cell r="D1178">
            <v>0.8</v>
          </cell>
        </row>
        <row r="1179">
          <cell r="A1179">
            <v>28</v>
          </cell>
          <cell r="D1179">
            <v>7.2</v>
          </cell>
        </row>
        <row r="1180">
          <cell r="A1180">
            <v>29</v>
          </cell>
          <cell r="D1180">
            <v>2</v>
          </cell>
        </row>
        <row r="1181">
          <cell r="A1181">
            <v>30</v>
          </cell>
          <cell r="D1181">
            <v>5.9</v>
          </cell>
        </row>
        <row r="1182">
          <cell r="A1182">
            <v>33</v>
          </cell>
          <cell r="D1182">
            <v>1</v>
          </cell>
        </row>
        <row r="1183">
          <cell r="A1183">
            <v>38</v>
          </cell>
          <cell r="D1183">
            <v>4.2</v>
          </cell>
        </row>
        <row r="1184">
          <cell r="A1184">
            <v>53</v>
          </cell>
          <cell r="D1184">
            <v>115.1</v>
          </cell>
        </row>
        <row r="1185">
          <cell r="A1185">
            <v>55</v>
          </cell>
          <cell r="D1185">
            <v>4.8</v>
          </cell>
        </row>
        <row r="1186">
          <cell r="A1186">
            <v>61</v>
          </cell>
          <cell r="D1186">
            <v>144</v>
          </cell>
        </row>
        <row r="1187">
          <cell r="A1187">
            <v>63</v>
          </cell>
          <cell r="D1187">
            <v>1.2</v>
          </cell>
        </row>
        <row r="1188">
          <cell r="A1188">
            <v>70</v>
          </cell>
          <cell r="D1188">
            <v>2.4</v>
          </cell>
        </row>
        <row r="1189">
          <cell r="A1189">
            <v>71</v>
          </cell>
          <cell r="D1189">
            <v>3.6</v>
          </cell>
        </row>
        <row r="1190">
          <cell r="A1190">
            <v>81</v>
          </cell>
          <cell r="D1190">
            <v>11.2</v>
          </cell>
        </row>
        <row r="1191">
          <cell r="A1191">
            <v>86</v>
          </cell>
          <cell r="D1191">
            <v>2.5</v>
          </cell>
        </row>
        <row r="1192">
          <cell r="A1192">
            <v>88</v>
          </cell>
          <cell r="D1192">
            <v>2.2999999999999998</v>
          </cell>
        </row>
        <row r="1193">
          <cell r="A1193">
            <v>109</v>
          </cell>
          <cell r="D1193">
            <v>6.6</v>
          </cell>
        </row>
        <row r="1194">
          <cell r="A1194">
            <v>112</v>
          </cell>
          <cell r="D1194">
            <v>4.5999999999999996</v>
          </cell>
        </row>
        <row r="1195">
          <cell r="A1195">
            <v>116</v>
          </cell>
          <cell r="D1195">
            <v>80.7</v>
          </cell>
        </row>
        <row r="1196">
          <cell r="A1196">
            <v>117</v>
          </cell>
          <cell r="D1196">
            <v>64.099999999999994</v>
          </cell>
        </row>
        <row r="1197">
          <cell r="A1197">
            <v>122</v>
          </cell>
          <cell r="D1197">
            <v>0.7</v>
          </cell>
        </row>
        <row r="1198">
          <cell r="A1198">
            <v>123</v>
          </cell>
          <cell r="D1198">
            <v>1.2</v>
          </cell>
        </row>
        <row r="1199">
          <cell r="A1199">
            <v>132</v>
          </cell>
          <cell r="D1199">
            <v>0.4</v>
          </cell>
        </row>
        <row r="1200">
          <cell r="A1200">
            <v>137</v>
          </cell>
          <cell r="D1200">
            <v>8.1</v>
          </cell>
        </row>
        <row r="1201">
          <cell r="A1201">
            <v>137</v>
          </cell>
          <cell r="D1201">
            <v>0.8</v>
          </cell>
        </row>
        <row r="1202">
          <cell r="A1202">
            <v>140</v>
          </cell>
          <cell r="D1202">
            <v>2.4</v>
          </cell>
        </row>
        <row r="1203">
          <cell r="A1203">
            <v>144</v>
          </cell>
          <cell r="D1203">
            <v>2.6</v>
          </cell>
        </row>
        <row r="1204">
          <cell r="A1204">
            <v>12</v>
          </cell>
          <cell r="D1204">
            <v>2.2999999999999998</v>
          </cell>
        </row>
        <row r="1205">
          <cell r="A1205">
            <v>17</v>
          </cell>
          <cell r="D1205">
            <v>1.1000000000000001</v>
          </cell>
        </row>
        <row r="1206">
          <cell r="A1206">
            <v>23</v>
          </cell>
          <cell r="D1206">
            <v>1.7</v>
          </cell>
        </row>
        <row r="1207">
          <cell r="A1207">
            <v>29</v>
          </cell>
          <cell r="D1207">
            <v>6</v>
          </cell>
        </row>
        <row r="1208">
          <cell r="A1208">
            <v>30</v>
          </cell>
          <cell r="D1208">
            <v>2.5</v>
          </cell>
        </row>
        <row r="1209">
          <cell r="A1209">
            <v>38</v>
          </cell>
          <cell r="D1209">
            <v>4.3</v>
          </cell>
        </row>
        <row r="1210">
          <cell r="A1210">
            <v>52</v>
          </cell>
          <cell r="D1210">
            <v>6.3</v>
          </cell>
        </row>
        <row r="1211">
          <cell r="A1211">
            <v>53</v>
          </cell>
          <cell r="D1211">
            <v>37.700000000000003</v>
          </cell>
        </row>
        <row r="1212">
          <cell r="A1212">
            <v>55</v>
          </cell>
          <cell r="D1212">
            <v>5.7</v>
          </cell>
        </row>
        <row r="1213">
          <cell r="A1213">
            <v>61</v>
          </cell>
          <cell r="D1213">
            <v>83.600000000000009</v>
          </cell>
        </row>
        <row r="1214">
          <cell r="A1214">
            <v>63</v>
          </cell>
          <cell r="D1214">
            <v>2.9</v>
          </cell>
        </row>
        <row r="1215">
          <cell r="A1215">
            <v>67</v>
          </cell>
          <cell r="D1215">
            <v>15.4</v>
          </cell>
        </row>
        <row r="1216">
          <cell r="A1216">
            <v>70</v>
          </cell>
          <cell r="D1216">
            <v>2</v>
          </cell>
        </row>
        <row r="1217">
          <cell r="A1217">
            <v>71</v>
          </cell>
          <cell r="D1217">
            <v>1</v>
          </cell>
        </row>
        <row r="1218">
          <cell r="A1218">
            <v>81</v>
          </cell>
          <cell r="D1218">
            <v>2.8</v>
          </cell>
        </row>
        <row r="1219">
          <cell r="A1219">
            <v>87</v>
          </cell>
          <cell r="D1219">
            <v>1</v>
          </cell>
        </row>
        <row r="1220">
          <cell r="A1220">
            <v>88</v>
          </cell>
          <cell r="D1220">
            <v>1.9</v>
          </cell>
        </row>
        <row r="1221">
          <cell r="A1221">
            <v>99</v>
          </cell>
          <cell r="D1221">
            <v>2.7</v>
          </cell>
        </row>
        <row r="1222">
          <cell r="A1222">
            <v>107</v>
          </cell>
          <cell r="D1222">
            <v>2.5</v>
          </cell>
        </row>
        <row r="1223">
          <cell r="A1223">
            <v>109</v>
          </cell>
          <cell r="D1223">
            <v>12.200000000000001</v>
          </cell>
        </row>
        <row r="1224">
          <cell r="A1224">
            <v>112</v>
          </cell>
          <cell r="D1224">
            <v>4.0999999999999996</v>
          </cell>
        </row>
        <row r="1225">
          <cell r="A1225">
            <v>116</v>
          </cell>
          <cell r="D1225">
            <v>17.899999999999999</v>
          </cell>
        </row>
        <row r="1226">
          <cell r="A1226">
            <v>122</v>
          </cell>
          <cell r="D1226">
            <v>1</v>
          </cell>
        </row>
        <row r="1227">
          <cell r="A1227">
            <v>132</v>
          </cell>
          <cell r="D1227">
            <v>0.6</v>
          </cell>
        </row>
        <row r="1228">
          <cell r="A1228">
            <v>133</v>
          </cell>
          <cell r="D1228">
            <v>7.3</v>
          </cell>
        </row>
        <row r="1229">
          <cell r="A1229">
            <v>140</v>
          </cell>
          <cell r="D1229">
            <v>0.6</v>
          </cell>
        </row>
        <row r="1230">
          <cell r="A1230">
            <v>153</v>
          </cell>
          <cell r="D1230">
            <v>1.6</v>
          </cell>
        </row>
        <row r="1231">
          <cell r="A1231">
            <v>159</v>
          </cell>
          <cell r="D1231">
            <v>3.3</v>
          </cell>
        </row>
        <row r="1232">
          <cell r="A1232">
            <v>4</v>
          </cell>
          <cell r="D1232">
            <v>2.2999999999999998</v>
          </cell>
        </row>
        <row r="1233">
          <cell r="A1233">
            <v>5</v>
          </cell>
          <cell r="D1233">
            <v>1.5</v>
          </cell>
        </row>
        <row r="1234">
          <cell r="A1234">
            <v>12</v>
          </cell>
          <cell r="D1234">
            <v>4.3</v>
          </cell>
        </row>
        <row r="1235">
          <cell r="A1235">
            <v>17</v>
          </cell>
          <cell r="D1235">
            <v>3.3</v>
          </cell>
        </row>
        <row r="1236">
          <cell r="A1236">
            <v>23</v>
          </cell>
          <cell r="D1236">
            <v>1.2</v>
          </cell>
        </row>
        <row r="1237">
          <cell r="A1237">
            <v>29</v>
          </cell>
          <cell r="D1237">
            <v>1.7</v>
          </cell>
        </row>
        <row r="1238">
          <cell r="A1238">
            <v>30</v>
          </cell>
          <cell r="D1238">
            <v>3.7</v>
          </cell>
        </row>
        <row r="1239">
          <cell r="A1239">
            <v>33</v>
          </cell>
          <cell r="D1239">
            <v>8.6999999999999993</v>
          </cell>
        </row>
        <row r="1240">
          <cell r="A1240">
            <v>35</v>
          </cell>
          <cell r="D1240">
            <v>6.2</v>
          </cell>
        </row>
        <row r="1241">
          <cell r="A1241">
            <v>38</v>
          </cell>
          <cell r="D1241">
            <v>3.5</v>
          </cell>
        </row>
        <row r="1242">
          <cell r="A1242">
            <v>53</v>
          </cell>
          <cell r="D1242">
            <v>116</v>
          </cell>
        </row>
        <row r="1243">
          <cell r="A1243">
            <v>55</v>
          </cell>
          <cell r="D1243">
            <v>2.4</v>
          </cell>
        </row>
        <row r="1244">
          <cell r="A1244">
            <v>61</v>
          </cell>
          <cell r="D1244">
            <v>78.099999999999994</v>
          </cell>
        </row>
        <row r="1245">
          <cell r="A1245">
            <v>70</v>
          </cell>
          <cell r="D1245">
            <v>2.2999999999999998</v>
          </cell>
        </row>
        <row r="1246">
          <cell r="A1246">
            <v>71</v>
          </cell>
          <cell r="D1246">
            <v>4.8</v>
          </cell>
        </row>
        <row r="1247">
          <cell r="A1247">
            <v>81</v>
          </cell>
          <cell r="D1247">
            <v>4.7</v>
          </cell>
        </row>
        <row r="1248">
          <cell r="A1248">
            <v>86</v>
          </cell>
          <cell r="D1248">
            <v>2.9</v>
          </cell>
        </row>
        <row r="1249">
          <cell r="A1249">
            <v>87</v>
          </cell>
          <cell r="D1249">
            <v>0.6</v>
          </cell>
        </row>
        <row r="1250">
          <cell r="A1250">
            <v>88</v>
          </cell>
          <cell r="D1250">
            <v>1.9</v>
          </cell>
        </row>
        <row r="1251">
          <cell r="A1251">
            <v>107</v>
          </cell>
          <cell r="D1251">
            <v>1.8</v>
          </cell>
        </row>
        <row r="1252">
          <cell r="A1252">
            <v>109</v>
          </cell>
          <cell r="D1252">
            <v>7.3</v>
          </cell>
        </row>
        <row r="1253">
          <cell r="A1253">
            <v>112</v>
          </cell>
          <cell r="D1253">
            <v>5.7</v>
          </cell>
        </row>
        <row r="1254">
          <cell r="A1254">
            <v>116</v>
          </cell>
          <cell r="D1254">
            <v>18.399999999999999</v>
          </cell>
        </row>
        <row r="1255">
          <cell r="A1255">
            <v>119</v>
          </cell>
          <cell r="D1255">
            <v>1.3</v>
          </cell>
        </row>
        <row r="1256">
          <cell r="A1256">
            <v>122</v>
          </cell>
          <cell r="D1256">
            <v>0.2</v>
          </cell>
        </row>
        <row r="1257">
          <cell r="A1257">
            <v>123</v>
          </cell>
          <cell r="D1257">
            <v>1.4</v>
          </cell>
        </row>
        <row r="1258">
          <cell r="A1258">
            <v>131</v>
          </cell>
          <cell r="D1258">
            <v>2.8</v>
          </cell>
        </row>
        <row r="1259">
          <cell r="A1259">
            <v>132</v>
          </cell>
          <cell r="D1259">
            <v>1.5</v>
          </cell>
        </row>
        <row r="1260">
          <cell r="A1260">
            <v>133</v>
          </cell>
          <cell r="D1260">
            <v>4.7</v>
          </cell>
        </row>
        <row r="1261">
          <cell r="A1261">
            <v>137</v>
          </cell>
          <cell r="D1261">
            <v>1.8</v>
          </cell>
        </row>
        <row r="1262">
          <cell r="A1262">
            <v>140</v>
          </cell>
          <cell r="D1262">
            <v>2.2999999999999998</v>
          </cell>
        </row>
        <row r="1263">
          <cell r="A1263">
            <v>144</v>
          </cell>
          <cell r="D1263">
            <v>3.1</v>
          </cell>
        </row>
        <row r="1264">
          <cell r="A1264">
            <v>147</v>
          </cell>
          <cell r="D1264">
            <v>5</v>
          </cell>
        </row>
        <row r="1265">
          <cell r="A1265">
            <v>154</v>
          </cell>
          <cell r="D1265">
            <v>1.7</v>
          </cell>
        </row>
        <row r="1266">
          <cell r="A1266">
            <v>159</v>
          </cell>
          <cell r="D1266">
            <v>1.4</v>
          </cell>
        </row>
        <row r="1267">
          <cell r="A1267">
            <v>5</v>
          </cell>
          <cell r="D1267">
            <v>1.8</v>
          </cell>
        </row>
        <row r="1268">
          <cell r="A1268">
            <v>12</v>
          </cell>
          <cell r="D1268">
            <v>1.2</v>
          </cell>
        </row>
        <row r="1269">
          <cell r="A1269">
            <v>12</v>
          </cell>
          <cell r="D1269">
            <v>0.9</v>
          </cell>
        </row>
        <row r="1270">
          <cell r="A1270">
            <v>30</v>
          </cell>
          <cell r="D1270">
            <v>2.6</v>
          </cell>
        </row>
        <row r="1271">
          <cell r="A1271">
            <v>33</v>
          </cell>
          <cell r="D1271">
            <v>0.7</v>
          </cell>
        </row>
        <row r="1272">
          <cell r="A1272">
            <v>35</v>
          </cell>
          <cell r="D1272">
            <v>2.8</v>
          </cell>
        </row>
        <row r="1273">
          <cell r="A1273">
            <v>38</v>
          </cell>
          <cell r="D1273">
            <v>4.8</v>
          </cell>
        </row>
        <row r="1274">
          <cell r="A1274">
            <v>52</v>
          </cell>
          <cell r="D1274">
            <v>2.1</v>
          </cell>
        </row>
        <row r="1275">
          <cell r="A1275">
            <v>53</v>
          </cell>
          <cell r="D1275">
            <v>54.8</v>
          </cell>
        </row>
        <row r="1276">
          <cell r="A1276">
            <v>55</v>
          </cell>
          <cell r="D1276">
            <v>4</v>
          </cell>
        </row>
        <row r="1277">
          <cell r="A1277">
            <v>57</v>
          </cell>
          <cell r="D1277">
            <v>1.7</v>
          </cell>
        </row>
        <row r="1278">
          <cell r="A1278">
            <v>61</v>
          </cell>
          <cell r="D1278">
            <v>194.3</v>
          </cell>
        </row>
        <row r="1279">
          <cell r="A1279">
            <v>63</v>
          </cell>
          <cell r="D1279">
            <v>2.1</v>
          </cell>
        </row>
        <row r="1280">
          <cell r="A1280">
            <v>71</v>
          </cell>
          <cell r="D1280">
            <v>1.3</v>
          </cell>
        </row>
        <row r="1281">
          <cell r="A1281">
            <v>81</v>
          </cell>
          <cell r="D1281">
            <v>1.5</v>
          </cell>
        </row>
        <row r="1282">
          <cell r="A1282">
            <v>87</v>
          </cell>
          <cell r="D1282">
            <v>2</v>
          </cell>
        </row>
        <row r="1283">
          <cell r="A1283">
            <v>88</v>
          </cell>
          <cell r="D1283">
            <v>2.5</v>
          </cell>
        </row>
        <row r="1284">
          <cell r="A1284">
            <v>112</v>
          </cell>
          <cell r="D1284">
            <v>9.8000000000000007</v>
          </cell>
        </row>
        <row r="1285">
          <cell r="A1285">
            <v>127</v>
          </cell>
          <cell r="D1285">
            <v>0.5</v>
          </cell>
        </row>
        <row r="1286">
          <cell r="A1286">
            <v>132</v>
          </cell>
          <cell r="D1286">
            <v>1.2</v>
          </cell>
        </row>
        <row r="1287">
          <cell r="A1287">
            <v>144</v>
          </cell>
          <cell r="D1287">
            <v>1.5</v>
          </cell>
        </row>
        <row r="1288">
          <cell r="A1288">
            <v>159</v>
          </cell>
          <cell r="D1288">
            <v>1.6</v>
          </cell>
        </row>
        <row r="1289">
          <cell r="A1289">
            <v>23</v>
          </cell>
          <cell r="D1289">
            <v>6.6</v>
          </cell>
        </row>
        <row r="1290">
          <cell r="A1290">
            <v>38</v>
          </cell>
          <cell r="D1290">
            <v>4.5</v>
          </cell>
        </row>
        <row r="1291">
          <cell r="A1291">
            <v>71</v>
          </cell>
          <cell r="D1291">
            <v>0.9</v>
          </cell>
        </row>
        <row r="1292">
          <cell r="A1292">
            <v>12</v>
          </cell>
          <cell r="D1292">
            <v>5.0999999999999996</v>
          </cell>
        </row>
        <row r="1293">
          <cell r="A1293">
            <v>54</v>
          </cell>
          <cell r="D1293">
            <v>3.2</v>
          </cell>
        </row>
        <row r="1294">
          <cell r="A1294">
            <v>154</v>
          </cell>
          <cell r="D1294">
            <v>1.9</v>
          </cell>
        </row>
        <row r="1295">
          <cell r="A1295">
            <v>132</v>
          </cell>
          <cell r="D1295">
            <v>0.7</v>
          </cell>
        </row>
        <row r="1296">
          <cell r="A1296">
            <v>112</v>
          </cell>
          <cell r="D1296">
            <v>2</v>
          </cell>
        </row>
        <row r="1297">
          <cell r="A1297">
            <v>144</v>
          </cell>
          <cell r="D1297">
            <v>4.5</v>
          </cell>
        </row>
        <row r="1298">
          <cell r="A1298">
            <v>140</v>
          </cell>
          <cell r="D1298">
            <v>1.6</v>
          </cell>
        </row>
        <row r="1299">
          <cell r="A1299">
            <v>87</v>
          </cell>
          <cell r="D1299">
            <v>0.7</v>
          </cell>
        </row>
        <row r="1300">
          <cell r="A1300">
            <v>12</v>
          </cell>
          <cell r="D1300">
            <v>1.7</v>
          </cell>
        </row>
        <row r="1301">
          <cell r="A1301">
            <v>107</v>
          </cell>
          <cell r="D1301">
            <v>3.5</v>
          </cell>
        </row>
        <row r="1302">
          <cell r="A1302">
            <v>106</v>
          </cell>
          <cell r="D1302">
            <v>7.1</v>
          </cell>
        </row>
        <row r="1303">
          <cell r="A1303">
            <v>30</v>
          </cell>
          <cell r="D1303">
            <v>4.7</v>
          </cell>
        </row>
        <row r="1304">
          <cell r="A1304">
            <v>61</v>
          </cell>
          <cell r="D1304">
            <v>48.9</v>
          </cell>
        </row>
        <row r="1305">
          <cell r="A1305">
            <v>116</v>
          </cell>
          <cell r="D1305">
            <v>29.8</v>
          </cell>
        </row>
        <row r="1306">
          <cell r="A1306">
            <v>106</v>
          </cell>
          <cell r="D1306">
            <v>7.1</v>
          </cell>
        </row>
        <row r="1307">
          <cell r="A1307">
            <v>153</v>
          </cell>
          <cell r="D1307">
            <v>2.2000000000000002</v>
          </cell>
        </row>
        <row r="1308">
          <cell r="A1308">
            <v>80</v>
          </cell>
          <cell r="D1308">
            <v>15</v>
          </cell>
        </row>
        <row r="1309">
          <cell r="A1309">
            <v>5</v>
          </cell>
          <cell r="D1309">
            <v>1</v>
          </cell>
        </row>
        <row r="1310">
          <cell r="A1310">
            <v>86</v>
          </cell>
          <cell r="D1310">
            <v>0.7</v>
          </cell>
        </row>
        <row r="1311">
          <cell r="A1311">
            <v>159</v>
          </cell>
          <cell r="D1311">
            <v>1.8</v>
          </cell>
        </row>
        <row r="1312">
          <cell r="A1312">
            <v>88</v>
          </cell>
          <cell r="D1312">
            <v>2.2000000000000002</v>
          </cell>
        </row>
        <row r="1313">
          <cell r="A1313">
            <v>29</v>
          </cell>
          <cell r="D1313">
            <v>3.3</v>
          </cell>
        </row>
        <row r="1314">
          <cell r="A1314">
            <v>53</v>
          </cell>
          <cell r="D1314">
            <v>80.099999999999994</v>
          </cell>
        </row>
        <row r="1315">
          <cell r="A1315">
            <v>35</v>
          </cell>
          <cell r="D1315">
            <v>4.3</v>
          </cell>
        </row>
        <row r="1316">
          <cell r="A1316">
            <v>109</v>
          </cell>
          <cell r="D1316">
            <v>6.6</v>
          </cell>
        </row>
        <row r="1317">
          <cell r="A1317">
            <v>33</v>
          </cell>
          <cell r="D1317">
            <v>1.5</v>
          </cell>
        </row>
        <row r="1318">
          <cell r="A1318">
            <v>81</v>
          </cell>
          <cell r="D1318">
            <v>1.1000000000000001</v>
          </cell>
        </row>
        <row r="1319">
          <cell r="A1319">
            <v>12</v>
          </cell>
          <cell r="D1319">
            <v>1.5</v>
          </cell>
        </row>
        <row r="1320">
          <cell r="A1320">
            <v>158</v>
          </cell>
          <cell r="D1320">
            <v>9.9</v>
          </cell>
        </row>
        <row r="1321">
          <cell r="A1321">
            <v>116</v>
          </cell>
          <cell r="D1321">
            <v>44.1</v>
          </cell>
        </row>
        <row r="1322">
          <cell r="A1322">
            <v>57</v>
          </cell>
          <cell r="D1322">
            <v>1.6</v>
          </cell>
        </row>
        <row r="1323">
          <cell r="A1323">
            <v>52</v>
          </cell>
          <cell r="D1323">
            <v>6.4</v>
          </cell>
        </row>
        <row r="1324">
          <cell r="A1324">
            <v>23</v>
          </cell>
          <cell r="D1324">
            <v>2.1</v>
          </cell>
        </row>
        <row r="1325">
          <cell r="A1325">
            <v>12</v>
          </cell>
          <cell r="D1325">
            <v>25.4</v>
          </cell>
        </row>
        <row r="1326">
          <cell r="A1326">
            <v>122</v>
          </cell>
          <cell r="D1326">
            <v>22.4</v>
          </cell>
        </row>
        <row r="1327">
          <cell r="A1327">
            <v>38</v>
          </cell>
          <cell r="D1327">
            <v>0.3</v>
          </cell>
        </row>
        <row r="1328">
          <cell r="A1328">
            <v>144</v>
          </cell>
          <cell r="D1328">
            <v>1.5</v>
          </cell>
        </row>
        <row r="1329">
          <cell r="A1329">
            <v>107</v>
          </cell>
          <cell r="D1329">
            <v>7.8</v>
          </cell>
        </row>
        <row r="1330">
          <cell r="A1330">
            <v>137</v>
          </cell>
          <cell r="D1330">
            <v>3.8</v>
          </cell>
        </row>
        <row r="1331">
          <cell r="A1331">
            <v>133</v>
          </cell>
          <cell r="D1331">
            <v>5.3</v>
          </cell>
        </row>
        <row r="1332">
          <cell r="A1332">
            <v>70</v>
          </cell>
          <cell r="D1332">
            <v>5.7</v>
          </cell>
        </row>
        <row r="1333">
          <cell r="A1333">
            <v>71</v>
          </cell>
          <cell r="D1333">
            <v>1.5</v>
          </cell>
        </row>
        <row r="1334">
          <cell r="A1334">
            <v>87</v>
          </cell>
          <cell r="D1334">
            <v>1.4</v>
          </cell>
        </row>
        <row r="1335">
          <cell r="A1335">
            <v>61</v>
          </cell>
          <cell r="D1335">
            <v>54.2</v>
          </cell>
        </row>
        <row r="1336">
          <cell r="A1336">
            <v>30</v>
          </cell>
          <cell r="D1336">
            <v>1</v>
          </cell>
        </row>
        <row r="1337">
          <cell r="A1337">
            <v>116</v>
          </cell>
          <cell r="D1337">
            <v>12.2</v>
          </cell>
        </row>
        <row r="1338">
          <cell r="A1338">
            <v>12</v>
          </cell>
          <cell r="D1338">
            <v>1</v>
          </cell>
        </row>
        <row r="1339">
          <cell r="A1339">
            <v>17</v>
          </cell>
          <cell r="D1339">
            <v>5.3</v>
          </cell>
        </row>
        <row r="1340">
          <cell r="A1340">
            <v>109</v>
          </cell>
          <cell r="D1340">
            <v>1.6</v>
          </cell>
        </row>
        <row r="1341">
          <cell r="A1341">
            <v>88</v>
          </cell>
          <cell r="D1341">
            <v>2.2000000000000002</v>
          </cell>
        </row>
        <row r="1342">
          <cell r="A1342">
            <v>132</v>
          </cell>
          <cell r="D1342">
            <v>0.4</v>
          </cell>
        </row>
        <row r="1343">
          <cell r="A1343">
            <v>35</v>
          </cell>
          <cell r="D1343">
            <v>3.1</v>
          </cell>
        </row>
        <row r="1344">
          <cell r="A1344">
            <v>5</v>
          </cell>
          <cell r="D1344">
            <v>1.2</v>
          </cell>
        </row>
        <row r="1345">
          <cell r="A1345">
            <v>86</v>
          </cell>
          <cell r="D1345">
            <v>2.7</v>
          </cell>
        </row>
        <row r="1346">
          <cell r="A1346">
            <v>29</v>
          </cell>
          <cell r="D1346">
            <v>4.5</v>
          </cell>
        </row>
        <row r="1347">
          <cell r="A1347">
            <v>55</v>
          </cell>
          <cell r="D1347">
            <v>89.8</v>
          </cell>
        </row>
        <row r="1348">
          <cell r="A1348">
            <v>123</v>
          </cell>
          <cell r="D1348">
            <v>1.5</v>
          </cell>
        </row>
        <row r="1349">
          <cell r="A1349">
            <v>81</v>
          </cell>
          <cell r="D1349">
            <v>2.8</v>
          </cell>
        </row>
        <row r="1350">
          <cell r="A1350">
            <v>57</v>
          </cell>
          <cell r="D1350">
            <v>3</v>
          </cell>
        </row>
        <row r="1351">
          <cell r="A1351">
            <v>116</v>
          </cell>
          <cell r="D1351">
            <v>33.799999999999997</v>
          </cell>
        </row>
        <row r="1352">
          <cell r="A1352">
            <v>61</v>
          </cell>
          <cell r="D1352">
            <v>9.07</v>
          </cell>
        </row>
        <row r="1353">
          <cell r="A1353">
            <v>12</v>
          </cell>
          <cell r="D1353">
            <v>24.8</v>
          </cell>
        </row>
        <row r="1354">
          <cell r="A1354">
            <v>23</v>
          </cell>
          <cell r="D1354">
            <v>2.7</v>
          </cell>
        </row>
        <row r="1355">
          <cell r="A1355">
            <v>61</v>
          </cell>
          <cell r="D1355">
            <v>75.3</v>
          </cell>
        </row>
        <row r="1356">
          <cell r="A1356">
            <v>122</v>
          </cell>
          <cell r="D1356">
            <v>80.7</v>
          </cell>
        </row>
        <row r="1357">
          <cell r="A1357">
            <v>33</v>
          </cell>
          <cell r="D1357">
            <v>1.2</v>
          </cell>
        </row>
        <row r="1358">
          <cell r="A1358">
            <v>137</v>
          </cell>
          <cell r="D1358">
            <v>4</v>
          </cell>
        </row>
        <row r="1359">
          <cell r="A1359">
            <v>144</v>
          </cell>
          <cell r="D1359">
            <v>1.8</v>
          </cell>
        </row>
        <row r="1360">
          <cell r="A1360">
            <v>71</v>
          </cell>
          <cell r="D1360">
            <v>2</v>
          </cell>
        </row>
        <row r="1361">
          <cell r="A1361">
            <v>133</v>
          </cell>
          <cell r="D1361">
            <v>4.3</v>
          </cell>
        </row>
        <row r="1362">
          <cell r="A1362">
            <v>109</v>
          </cell>
          <cell r="D1362">
            <v>2.2999999999999998</v>
          </cell>
        </row>
        <row r="1363">
          <cell r="A1363">
            <v>87</v>
          </cell>
          <cell r="D1363">
            <v>1.1000000000000001</v>
          </cell>
        </row>
        <row r="1364">
          <cell r="A1364">
            <v>153</v>
          </cell>
          <cell r="D1364">
            <v>1.3</v>
          </cell>
        </row>
        <row r="1365">
          <cell r="A1365">
            <v>88</v>
          </cell>
          <cell r="D1365">
            <v>1.8</v>
          </cell>
        </row>
        <row r="1366">
          <cell r="A1366">
            <v>99</v>
          </cell>
          <cell r="D1366">
            <v>2.2999999999999998</v>
          </cell>
        </row>
        <row r="1367">
          <cell r="A1367">
            <v>137</v>
          </cell>
          <cell r="D1367">
            <v>7.4</v>
          </cell>
        </row>
        <row r="1368">
          <cell r="A1368">
            <v>132</v>
          </cell>
          <cell r="D1368">
            <v>1</v>
          </cell>
        </row>
        <row r="1369">
          <cell r="A1369">
            <v>116</v>
          </cell>
          <cell r="D1369">
            <v>29.6</v>
          </cell>
        </row>
        <row r="1370">
          <cell r="A1370">
            <v>147</v>
          </cell>
          <cell r="D1370">
            <v>2</v>
          </cell>
        </row>
        <row r="1371">
          <cell r="A1371">
            <v>29</v>
          </cell>
          <cell r="D1371">
            <v>2.4</v>
          </cell>
        </row>
        <row r="1372">
          <cell r="A1372">
            <v>58</v>
          </cell>
          <cell r="D1372">
            <v>5.6</v>
          </cell>
        </row>
        <row r="1373">
          <cell r="A1373">
            <v>86</v>
          </cell>
          <cell r="D1373">
            <v>1.1000000000000001</v>
          </cell>
        </row>
        <row r="1374">
          <cell r="A1374">
            <v>35</v>
          </cell>
          <cell r="D1374">
            <v>2.9</v>
          </cell>
        </row>
        <row r="1375">
          <cell r="A1375">
            <v>53</v>
          </cell>
          <cell r="D1375">
            <v>115.1</v>
          </cell>
        </row>
        <row r="1376">
          <cell r="A1376">
            <v>55</v>
          </cell>
          <cell r="D1376">
            <v>12.6</v>
          </cell>
        </row>
        <row r="1377">
          <cell r="A1377">
            <v>81</v>
          </cell>
          <cell r="D1377">
            <v>1.3</v>
          </cell>
        </row>
        <row r="1378">
          <cell r="A1378">
            <v>61</v>
          </cell>
          <cell r="D1378">
            <v>1.5</v>
          </cell>
        </row>
        <row r="1379">
          <cell r="A1379">
            <v>38</v>
          </cell>
          <cell r="D1379">
            <v>8.51</v>
          </cell>
        </row>
        <row r="1380">
          <cell r="A1380">
            <v>112</v>
          </cell>
          <cell r="D1380">
            <v>15.61</v>
          </cell>
        </row>
        <row r="1381">
          <cell r="A1381">
            <v>122</v>
          </cell>
          <cell r="D1381">
            <v>25.8</v>
          </cell>
        </row>
        <row r="1382">
          <cell r="A1382">
            <v>88</v>
          </cell>
          <cell r="D1382">
            <v>28.03</v>
          </cell>
        </row>
        <row r="1383">
          <cell r="A1383">
            <v>57</v>
          </cell>
          <cell r="D1383">
            <v>3.5</v>
          </cell>
        </row>
        <row r="1384">
          <cell r="A1384">
            <v>61</v>
          </cell>
          <cell r="D1384">
            <v>49</v>
          </cell>
        </row>
        <row r="1385">
          <cell r="A1385">
            <v>12</v>
          </cell>
          <cell r="D1385">
            <v>3.3</v>
          </cell>
        </row>
        <row r="1386">
          <cell r="A1386">
            <v>17</v>
          </cell>
          <cell r="D1386">
            <v>1</v>
          </cell>
        </row>
        <row r="1387">
          <cell r="A1387">
            <v>116</v>
          </cell>
          <cell r="D1387">
            <v>26.7</v>
          </cell>
        </row>
        <row r="1388">
          <cell r="A1388">
            <v>71</v>
          </cell>
          <cell r="D1388">
            <v>1.6</v>
          </cell>
        </row>
        <row r="1389">
          <cell r="A1389">
            <v>88</v>
          </cell>
          <cell r="D1389">
            <v>11.3</v>
          </cell>
        </row>
        <row r="1390">
          <cell r="A1390">
            <v>38</v>
          </cell>
          <cell r="D1390">
            <v>4.7</v>
          </cell>
        </row>
        <row r="1391">
          <cell r="A1391">
            <v>132</v>
          </cell>
          <cell r="D1391">
            <v>2.4</v>
          </cell>
        </row>
        <row r="1392">
          <cell r="A1392">
            <v>87</v>
          </cell>
          <cell r="D1392">
            <v>0.8</v>
          </cell>
        </row>
        <row r="1393">
          <cell r="A1393">
            <v>109</v>
          </cell>
          <cell r="D1393">
            <v>6</v>
          </cell>
        </row>
        <row r="1394">
          <cell r="A1394">
            <v>137</v>
          </cell>
          <cell r="D1394">
            <v>1.3</v>
          </cell>
        </row>
        <row r="1395">
          <cell r="A1395">
            <v>5</v>
          </cell>
          <cell r="D1395">
            <v>1.86</v>
          </cell>
        </row>
        <row r="1396">
          <cell r="A1396">
            <v>88</v>
          </cell>
          <cell r="D1396">
            <v>2.1</v>
          </cell>
        </row>
        <row r="1397">
          <cell r="A1397">
            <v>159</v>
          </cell>
          <cell r="D1397">
            <v>2.6</v>
          </cell>
        </row>
        <row r="1398">
          <cell r="A1398">
            <v>29</v>
          </cell>
          <cell r="D1398">
            <v>1.8</v>
          </cell>
        </row>
        <row r="1399">
          <cell r="A1399">
            <v>53</v>
          </cell>
          <cell r="D1399">
            <v>47.9</v>
          </cell>
        </row>
        <row r="1400">
          <cell r="A1400">
            <v>81</v>
          </cell>
          <cell r="D1400">
            <v>4.5</v>
          </cell>
        </row>
        <row r="1401">
          <cell r="A1401">
            <v>70</v>
          </cell>
          <cell r="D1401">
            <v>3.3</v>
          </cell>
        </row>
        <row r="1402">
          <cell r="A1402">
            <v>86</v>
          </cell>
          <cell r="D1402">
            <v>1</v>
          </cell>
        </row>
        <row r="1403">
          <cell r="A1403">
            <v>80</v>
          </cell>
          <cell r="D1403">
            <v>13.8</v>
          </cell>
        </row>
        <row r="1404">
          <cell r="A1404">
            <v>144</v>
          </cell>
          <cell r="D1404">
            <v>7</v>
          </cell>
        </row>
        <row r="1405">
          <cell r="A1405">
            <v>123</v>
          </cell>
          <cell r="D1405">
            <v>0.9</v>
          </cell>
        </row>
        <row r="1406">
          <cell r="A1406">
            <v>93</v>
          </cell>
          <cell r="D1406">
            <v>2.5</v>
          </cell>
        </row>
        <row r="1407">
          <cell r="A1407">
            <v>17</v>
          </cell>
          <cell r="D1407">
            <v>3.3</v>
          </cell>
        </row>
        <row r="1408">
          <cell r="A1408">
            <v>57</v>
          </cell>
          <cell r="D1408">
            <v>2.2000000000000002</v>
          </cell>
        </row>
        <row r="1409">
          <cell r="A1409">
            <v>116</v>
          </cell>
          <cell r="D1409">
            <v>9.1999999999999993</v>
          </cell>
        </row>
        <row r="1410">
          <cell r="A1410">
            <v>54</v>
          </cell>
          <cell r="D1410">
            <v>7.3</v>
          </cell>
        </row>
        <row r="1411">
          <cell r="A1411">
            <v>133</v>
          </cell>
          <cell r="D1411">
            <v>10</v>
          </cell>
        </row>
        <row r="1412">
          <cell r="A1412">
            <v>23</v>
          </cell>
          <cell r="D1412">
            <v>2</v>
          </cell>
        </row>
        <row r="1413">
          <cell r="A1413">
            <v>147</v>
          </cell>
          <cell r="D1413">
            <v>0.7</v>
          </cell>
        </row>
        <row r="1414">
          <cell r="A1414">
            <v>144</v>
          </cell>
          <cell r="D1414">
            <v>2.2000000000000002</v>
          </cell>
        </row>
        <row r="1415">
          <cell r="A1415">
            <v>38</v>
          </cell>
          <cell r="D1415">
            <v>4</v>
          </cell>
        </row>
        <row r="1416">
          <cell r="A1416">
            <v>35</v>
          </cell>
          <cell r="D1416">
            <v>3.7</v>
          </cell>
        </row>
        <row r="1417">
          <cell r="A1417">
            <v>132</v>
          </cell>
          <cell r="D1417">
            <v>1.6</v>
          </cell>
        </row>
        <row r="1418">
          <cell r="A1418">
            <v>137</v>
          </cell>
          <cell r="D1418">
            <v>11.7</v>
          </cell>
        </row>
        <row r="1419">
          <cell r="A1419">
            <v>140</v>
          </cell>
          <cell r="D1419">
            <v>5.9</v>
          </cell>
        </row>
        <row r="1420">
          <cell r="A1420">
            <v>153</v>
          </cell>
          <cell r="D1420">
            <v>2.4</v>
          </cell>
        </row>
        <row r="1421">
          <cell r="A1421">
            <v>112</v>
          </cell>
          <cell r="D1421">
            <v>1.6</v>
          </cell>
        </row>
        <row r="1422">
          <cell r="A1422">
            <v>30</v>
          </cell>
          <cell r="D1422">
            <v>5.8</v>
          </cell>
        </row>
        <row r="1423">
          <cell r="A1423">
            <v>122</v>
          </cell>
          <cell r="D1423">
            <v>0.6</v>
          </cell>
        </row>
        <row r="1424">
          <cell r="A1424">
            <v>87</v>
          </cell>
          <cell r="D1424">
            <v>2.9</v>
          </cell>
        </row>
        <row r="1425">
          <cell r="A1425">
            <v>33</v>
          </cell>
          <cell r="D1425">
            <v>1.7</v>
          </cell>
        </row>
        <row r="1426">
          <cell r="A1426">
            <v>64</v>
          </cell>
          <cell r="D1426">
            <v>1.1000000000000001</v>
          </cell>
        </row>
        <row r="1427">
          <cell r="A1427">
            <v>61</v>
          </cell>
          <cell r="D1427">
            <v>49.4</v>
          </cell>
        </row>
        <row r="1428">
          <cell r="A1428">
            <v>80</v>
          </cell>
          <cell r="D1428">
            <v>11.9</v>
          </cell>
        </row>
        <row r="1429">
          <cell r="A1429">
            <v>93</v>
          </cell>
          <cell r="D1429">
            <v>2.8</v>
          </cell>
        </row>
        <row r="1430">
          <cell r="A1430">
            <v>71</v>
          </cell>
          <cell r="D1430">
            <v>1.7</v>
          </cell>
        </row>
        <row r="1431">
          <cell r="A1431">
            <v>116</v>
          </cell>
          <cell r="D1431">
            <v>27.8</v>
          </cell>
        </row>
        <row r="1432">
          <cell r="A1432">
            <v>29</v>
          </cell>
          <cell r="D1432">
            <v>3.4</v>
          </cell>
        </row>
        <row r="1433">
          <cell r="A1433">
            <v>55</v>
          </cell>
          <cell r="D1433">
            <v>3</v>
          </cell>
        </row>
        <row r="1434">
          <cell r="A1434">
            <v>53</v>
          </cell>
          <cell r="D1434">
            <v>119.8</v>
          </cell>
        </row>
        <row r="1435">
          <cell r="A1435">
            <v>81</v>
          </cell>
          <cell r="D1435">
            <v>1.8</v>
          </cell>
        </row>
        <row r="1436">
          <cell r="A1436">
            <v>70</v>
          </cell>
          <cell r="D1436">
            <v>2</v>
          </cell>
        </row>
        <row r="1437">
          <cell r="A1437">
            <v>88</v>
          </cell>
          <cell r="D1437">
            <v>2.2000000000000002</v>
          </cell>
        </row>
        <row r="1438">
          <cell r="A1438">
            <v>17</v>
          </cell>
          <cell r="D1438">
            <v>4.4000000000000004</v>
          </cell>
        </row>
        <row r="1439">
          <cell r="A1439">
            <v>12</v>
          </cell>
          <cell r="D1439">
            <v>4.5</v>
          </cell>
        </row>
        <row r="1440">
          <cell r="A1440">
            <v>17</v>
          </cell>
          <cell r="D1440">
            <v>0.6</v>
          </cell>
        </row>
        <row r="1441">
          <cell r="A1441">
            <v>38</v>
          </cell>
          <cell r="D1441">
            <v>23</v>
          </cell>
        </row>
        <row r="1442">
          <cell r="A1442">
            <v>71</v>
          </cell>
          <cell r="D1442">
            <v>0.7</v>
          </cell>
        </row>
        <row r="1443">
          <cell r="A1443">
            <v>132</v>
          </cell>
          <cell r="D1443">
            <v>0.8</v>
          </cell>
        </row>
        <row r="1444">
          <cell r="A1444">
            <v>30</v>
          </cell>
          <cell r="D1444">
            <v>2.8</v>
          </cell>
        </row>
        <row r="1445">
          <cell r="A1445">
            <v>12</v>
          </cell>
          <cell r="D1445">
            <v>2.4</v>
          </cell>
        </row>
        <row r="1446">
          <cell r="A1446">
            <v>80</v>
          </cell>
          <cell r="D1446">
            <v>12.2</v>
          </cell>
        </row>
        <row r="1447">
          <cell r="A1447">
            <v>61</v>
          </cell>
          <cell r="D1447">
            <v>38.700000000000003</v>
          </cell>
        </row>
        <row r="1448">
          <cell r="A1448">
            <v>93</v>
          </cell>
          <cell r="D1448">
            <v>5</v>
          </cell>
        </row>
        <row r="1449">
          <cell r="A1449">
            <v>107</v>
          </cell>
          <cell r="D1449">
            <v>6.2</v>
          </cell>
        </row>
        <row r="1450">
          <cell r="A1450">
            <v>58</v>
          </cell>
          <cell r="D1450">
            <v>3.8</v>
          </cell>
        </row>
        <row r="1451">
          <cell r="A1451">
            <v>147</v>
          </cell>
          <cell r="D1451">
            <v>0.5</v>
          </cell>
        </row>
        <row r="1452">
          <cell r="A1452">
            <v>154</v>
          </cell>
          <cell r="D1452">
            <v>2.7</v>
          </cell>
        </row>
        <row r="1453">
          <cell r="A1453">
            <v>5</v>
          </cell>
          <cell r="D1453">
            <v>5</v>
          </cell>
        </row>
        <row r="1454">
          <cell r="A1454">
            <v>102</v>
          </cell>
          <cell r="D1454">
            <v>3.3</v>
          </cell>
        </row>
        <row r="1455">
          <cell r="A1455">
            <v>154</v>
          </cell>
          <cell r="D1455">
            <v>2.7</v>
          </cell>
        </row>
        <row r="1456">
          <cell r="A1456">
            <v>102</v>
          </cell>
          <cell r="D1456">
            <v>2.7</v>
          </cell>
        </row>
        <row r="1457">
          <cell r="A1457">
            <v>137</v>
          </cell>
          <cell r="D1457">
            <v>2.4</v>
          </cell>
        </row>
        <row r="1458">
          <cell r="A1458">
            <v>35</v>
          </cell>
          <cell r="D1458">
            <v>2.6</v>
          </cell>
        </row>
        <row r="1459">
          <cell r="A1459">
            <v>109</v>
          </cell>
          <cell r="D1459">
            <v>3.9</v>
          </cell>
        </row>
        <row r="1460">
          <cell r="A1460">
            <v>88</v>
          </cell>
          <cell r="D1460">
            <v>1.8</v>
          </cell>
        </row>
        <row r="1461">
          <cell r="A1461">
            <v>17</v>
          </cell>
          <cell r="D1461" t="str">
            <v>3,4+1</v>
          </cell>
        </row>
        <row r="1462">
          <cell r="A1462">
            <v>29</v>
          </cell>
          <cell r="D1462">
            <v>3.2</v>
          </cell>
        </row>
        <row r="1463">
          <cell r="A1463">
            <v>86</v>
          </cell>
          <cell r="D1463">
            <v>2</v>
          </cell>
        </row>
        <row r="1464">
          <cell r="A1464">
            <v>70</v>
          </cell>
          <cell r="D1464">
            <v>1.6</v>
          </cell>
        </row>
        <row r="1465">
          <cell r="A1465">
            <v>53</v>
          </cell>
          <cell r="D1465">
            <v>78.3</v>
          </cell>
        </row>
        <row r="1466">
          <cell r="A1466">
            <v>81</v>
          </cell>
          <cell r="D1466">
            <v>1.8</v>
          </cell>
        </row>
        <row r="1467">
          <cell r="A1467">
            <v>116</v>
          </cell>
          <cell r="D1467">
            <v>14</v>
          </cell>
        </row>
        <row r="1468">
          <cell r="A1468">
            <v>57</v>
          </cell>
          <cell r="D1468">
            <v>0.9</v>
          </cell>
        </row>
        <row r="1469">
          <cell r="A1469">
            <v>61</v>
          </cell>
          <cell r="D1469">
            <v>33.299999999999997</v>
          </cell>
        </row>
        <row r="1470">
          <cell r="A1470">
            <v>116</v>
          </cell>
          <cell r="D1470">
            <v>3.8</v>
          </cell>
        </row>
        <row r="1471">
          <cell r="A1471">
            <v>52</v>
          </cell>
          <cell r="D1471">
            <v>10.8</v>
          </cell>
        </row>
        <row r="1472">
          <cell r="A1472">
            <v>137</v>
          </cell>
          <cell r="D1472">
            <v>3.4</v>
          </cell>
        </row>
        <row r="1473">
          <cell r="A1473">
            <v>71</v>
          </cell>
          <cell r="D1473">
            <v>2.1</v>
          </cell>
        </row>
        <row r="1474">
          <cell r="A1474">
            <v>144</v>
          </cell>
          <cell r="D1474">
            <v>3.4</v>
          </cell>
        </row>
        <row r="1475">
          <cell r="A1475">
            <v>38</v>
          </cell>
          <cell r="D1475">
            <v>10.7</v>
          </cell>
        </row>
        <row r="1476">
          <cell r="A1476">
            <v>12</v>
          </cell>
          <cell r="D1476">
            <v>6.3</v>
          </cell>
        </row>
        <row r="1477">
          <cell r="A1477">
            <v>133</v>
          </cell>
          <cell r="D1477">
            <v>6.2</v>
          </cell>
        </row>
        <row r="1478">
          <cell r="A1478">
            <v>112</v>
          </cell>
          <cell r="D1478">
            <v>17</v>
          </cell>
        </row>
        <row r="1479">
          <cell r="A1479">
            <v>92</v>
          </cell>
          <cell r="D1479">
            <v>5.8</v>
          </cell>
        </row>
        <row r="1480">
          <cell r="A1480">
            <v>33</v>
          </cell>
          <cell r="D1480">
            <v>1.6</v>
          </cell>
        </row>
        <row r="1481">
          <cell r="A1481">
            <v>132</v>
          </cell>
          <cell r="D1481">
            <v>0.5</v>
          </cell>
        </row>
        <row r="1482">
          <cell r="A1482">
            <v>107</v>
          </cell>
          <cell r="D1482">
            <v>80</v>
          </cell>
        </row>
        <row r="1483">
          <cell r="A1483">
            <v>61</v>
          </cell>
          <cell r="D1483">
            <v>97.4</v>
          </cell>
        </row>
        <row r="1484">
          <cell r="A1484">
            <v>17</v>
          </cell>
          <cell r="D1484">
            <v>4.5</v>
          </cell>
        </row>
        <row r="1485">
          <cell r="A1485">
            <v>30</v>
          </cell>
          <cell r="D1485">
            <v>2</v>
          </cell>
        </row>
        <row r="1486">
          <cell r="A1486">
            <v>99</v>
          </cell>
          <cell r="D1486">
            <v>1.6</v>
          </cell>
        </row>
        <row r="1487">
          <cell r="A1487">
            <v>70</v>
          </cell>
          <cell r="D1487">
            <v>1.6</v>
          </cell>
        </row>
        <row r="1488">
          <cell r="A1488">
            <v>4</v>
          </cell>
          <cell r="D1488">
            <v>1</v>
          </cell>
        </row>
        <row r="1489">
          <cell r="A1489">
            <v>122</v>
          </cell>
          <cell r="D1489">
            <v>0.7</v>
          </cell>
        </row>
        <row r="1490">
          <cell r="A1490">
            <v>88</v>
          </cell>
          <cell r="D1490">
            <v>2.1</v>
          </cell>
        </row>
        <row r="1491">
          <cell r="A1491">
            <v>35</v>
          </cell>
          <cell r="D1491">
            <v>1.1000000000000001</v>
          </cell>
        </row>
        <row r="1492">
          <cell r="A1492">
            <v>29</v>
          </cell>
          <cell r="D1492">
            <v>1.5</v>
          </cell>
        </row>
        <row r="1493">
          <cell r="A1493">
            <v>55</v>
          </cell>
          <cell r="D1493">
            <v>13.3</v>
          </cell>
        </row>
        <row r="1494">
          <cell r="A1494">
            <v>53</v>
          </cell>
          <cell r="D1494">
            <v>102.2</v>
          </cell>
        </row>
        <row r="1495">
          <cell r="A1495">
            <v>81</v>
          </cell>
          <cell r="D1495">
            <v>1.6</v>
          </cell>
        </row>
        <row r="1496">
          <cell r="A1496">
            <v>23</v>
          </cell>
          <cell r="D1496">
            <v>3.5</v>
          </cell>
        </row>
        <row r="1497">
          <cell r="A1497">
            <v>116</v>
          </cell>
          <cell r="D1497">
            <v>22.6</v>
          </cell>
        </row>
        <row r="1498">
          <cell r="A1498">
            <v>116</v>
          </cell>
          <cell r="D1498">
            <v>21.6</v>
          </cell>
        </row>
        <row r="1499">
          <cell r="A1499">
            <v>71</v>
          </cell>
          <cell r="D1499">
            <v>1.4</v>
          </cell>
        </row>
        <row r="1500">
          <cell r="A1500">
            <v>38</v>
          </cell>
          <cell r="D1500">
            <v>9.6999999999999993</v>
          </cell>
        </row>
        <row r="1501">
          <cell r="A1501">
            <v>61</v>
          </cell>
          <cell r="D1501">
            <v>94.9</v>
          </cell>
        </row>
        <row r="1502">
          <cell r="A1502">
            <v>109</v>
          </cell>
          <cell r="D1502">
            <v>3.7</v>
          </cell>
        </row>
        <row r="1503">
          <cell r="A1503">
            <v>93</v>
          </cell>
          <cell r="D1503">
            <v>2.2000000000000002</v>
          </cell>
        </row>
        <row r="1504">
          <cell r="A1504">
            <v>52</v>
          </cell>
          <cell r="D1504">
            <v>1.6</v>
          </cell>
        </row>
        <row r="1505">
          <cell r="A1505">
            <v>159</v>
          </cell>
          <cell r="D1505">
            <v>2</v>
          </cell>
        </row>
        <row r="1506">
          <cell r="A1506">
            <v>80</v>
          </cell>
          <cell r="D1506">
            <v>7.8</v>
          </cell>
        </row>
        <row r="1507">
          <cell r="A1507">
            <v>88</v>
          </cell>
          <cell r="D1507">
            <v>3.6</v>
          </cell>
        </row>
        <row r="1508">
          <cell r="A1508">
            <v>102</v>
          </cell>
          <cell r="D1508">
            <v>2</v>
          </cell>
        </row>
        <row r="1509">
          <cell r="A1509">
            <v>29</v>
          </cell>
          <cell r="D1509">
            <v>4.2</v>
          </cell>
        </row>
        <row r="1510">
          <cell r="A1510">
            <v>140</v>
          </cell>
          <cell r="D1510">
            <v>4.2</v>
          </cell>
        </row>
        <row r="1511">
          <cell r="A1511">
            <v>2</v>
          </cell>
          <cell r="D1511">
            <v>1.8</v>
          </cell>
        </row>
        <row r="1512">
          <cell r="A1512">
            <v>137</v>
          </cell>
          <cell r="D1512">
            <v>1.9</v>
          </cell>
        </row>
        <row r="1513">
          <cell r="A1513">
            <v>17</v>
          </cell>
          <cell r="D1513">
            <v>11.6</v>
          </cell>
        </row>
        <row r="1514">
          <cell r="A1514">
            <v>4</v>
          </cell>
          <cell r="D1514">
            <v>17.600000000000001</v>
          </cell>
        </row>
        <row r="1515">
          <cell r="A1515">
            <v>30</v>
          </cell>
          <cell r="D1515">
            <v>0.8</v>
          </cell>
        </row>
        <row r="1516">
          <cell r="A1516">
            <v>147</v>
          </cell>
          <cell r="D1516">
            <v>1.6</v>
          </cell>
        </row>
        <row r="1517">
          <cell r="A1517">
            <v>81</v>
          </cell>
          <cell r="D1517">
            <v>2.6</v>
          </cell>
        </row>
        <row r="1518">
          <cell r="A1518">
            <v>123</v>
          </cell>
          <cell r="D1518">
            <v>1.5</v>
          </cell>
        </row>
        <row r="1519">
          <cell r="A1519">
            <v>55</v>
          </cell>
          <cell r="D1519">
            <v>4.8</v>
          </cell>
        </row>
        <row r="1520">
          <cell r="A1520">
            <v>53</v>
          </cell>
          <cell r="D1520">
            <v>97.3</v>
          </cell>
        </row>
        <row r="1521">
          <cell r="A1521">
            <v>153</v>
          </cell>
          <cell r="D1521">
            <v>10.4</v>
          </cell>
        </row>
        <row r="1522">
          <cell r="A1522">
            <v>137</v>
          </cell>
          <cell r="D1522">
            <v>16.100000000000001</v>
          </cell>
        </row>
        <row r="1523">
          <cell r="A1523">
            <v>38</v>
          </cell>
          <cell r="D1523">
            <v>4.7</v>
          </cell>
        </row>
        <row r="1524">
          <cell r="A1524">
            <v>116</v>
          </cell>
          <cell r="D1524">
            <v>26.5</v>
          </cell>
        </row>
        <row r="1525">
          <cell r="A1525">
            <v>61</v>
          </cell>
          <cell r="D1525">
            <v>172.5</v>
          </cell>
        </row>
        <row r="1526">
          <cell r="A1526">
            <v>30</v>
          </cell>
          <cell r="D1526">
            <v>5</v>
          </cell>
        </row>
        <row r="1527">
          <cell r="A1527">
            <v>132</v>
          </cell>
          <cell r="D1527">
            <v>3</v>
          </cell>
        </row>
        <row r="1528">
          <cell r="A1528">
            <v>35</v>
          </cell>
          <cell r="D1528">
            <v>2.4</v>
          </cell>
        </row>
        <row r="1529">
          <cell r="A1529">
            <v>137</v>
          </cell>
          <cell r="D1529">
            <v>2.4</v>
          </cell>
        </row>
        <row r="1530">
          <cell r="A1530">
            <v>71</v>
          </cell>
          <cell r="D1530">
            <v>1.8</v>
          </cell>
        </row>
        <row r="1531">
          <cell r="A1531">
            <v>92</v>
          </cell>
          <cell r="D1531">
            <v>2.8</v>
          </cell>
        </row>
        <row r="1532">
          <cell r="A1532">
            <v>33</v>
          </cell>
          <cell r="D1532">
            <v>2.2999999999999998</v>
          </cell>
        </row>
        <row r="1533">
          <cell r="A1533">
            <v>63</v>
          </cell>
          <cell r="D1533">
            <v>2.6</v>
          </cell>
        </row>
        <row r="1534">
          <cell r="A1534">
            <v>86</v>
          </cell>
          <cell r="D1534">
            <v>8.1</v>
          </cell>
        </row>
        <row r="1535">
          <cell r="A1535">
            <v>140</v>
          </cell>
          <cell r="D1535">
            <v>3.2</v>
          </cell>
        </row>
        <row r="1536">
          <cell r="A1536">
            <v>107</v>
          </cell>
          <cell r="D1536">
            <v>1.6</v>
          </cell>
        </row>
        <row r="1537">
          <cell r="A1537">
            <v>29</v>
          </cell>
          <cell r="D1537">
            <v>3.3</v>
          </cell>
        </row>
        <row r="1538">
          <cell r="A1538">
            <v>2</v>
          </cell>
          <cell r="D1538">
            <v>1.6</v>
          </cell>
        </row>
        <row r="1539">
          <cell r="A1539">
            <v>52</v>
          </cell>
          <cell r="D1539">
            <v>3.6</v>
          </cell>
        </row>
        <row r="1540">
          <cell r="A1540">
            <v>53</v>
          </cell>
          <cell r="D1540">
            <v>93.4</v>
          </cell>
        </row>
        <row r="1541">
          <cell r="A1541">
            <v>109</v>
          </cell>
          <cell r="D1541">
            <v>2.6</v>
          </cell>
        </row>
        <row r="1542">
          <cell r="A1542">
            <v>70</v>
          </cell>
          <cell r="D1542">
            <v>1.7</v>
          </cell>
        </row>
        <row r="1543">
          <cell r="A1543">
            <v>144</v>
          </cell>
          <cell r="D1543">
            <v>6.9</v>
          </cell>
        </row>
        <row r="1544">
          <cell r="A1544">
            <v>81</v>
          </cell>
          <cell r="D1544">
            <v>3.8</v>
          </cell>
        </row>
        <row r="1545">
          <cell r="A1545">
            <v>23</v>
          </cell>
          <cell r="D1545">
            <v>1.1000000000000001</v>
          </cell>
        </row>
        <row r="1546">
          <cell r="A1546">
            <v>123</v>
          </cell>
          <cell r="D1546">
            <v>1.1000000000000001</v>
          </cell>
        </row>
        <row r="1547">
          <cell r="A1547">
            <v>88</v>
          </cell>
          <cell r="D1547">
            <v>2.2000000000000002</v>
          </cell>
        </row>
        <row r="1548">
          <cell r="A1548">
            <v>160</v>
          </cell>
          <cell r="D1548">
            <v>105.07</v>
          </cell>
        </row>
        <row r="1549">
          <cell r="A1549">
            <v>92</v>
          </cell>
          <cell r="D1549">
            <v>4.5999999999999996</v>
          </cell>
        </row>
        <row r="1550">
          <cell r="A1550">
            <v>61</v>
          </cell>
          <cell r="D1550">
            <v>140.09</v>
          </cell>
        </row>
        <row r="1551">
          <cell r="A1551">
            <v>38</v>
          </cell>
          <cell r="D1551">
            <v>5</v>
          </cell>
        </row>
        <row r="1552">
          <cell r="A1552">
            <v>112</v>
          </cell>
          <cell r="D1552">
            <v>4.5999999999999996</v>
          </cell>
        </row>
        <row r="1553">
          <cell r="A1553">
            <v>137</v>
          </cell>
          <cell r="D1553">
            <v>1.7</v>
          </cell>
        </row>
        <row r="1554">
          <cell r="A1554">
            <v>116</v>
          </cell>
          <cell r="D1554">
            <v>17.3</v>
          </cell>
        </row>
        <row r="1555">
          <cell r="A1555">
            <v>23</v>
          </cell>
          <cell r="D1555">
            <v>1.5</v>
          </cell>
        </row>
        <row r="1556">
          <cell r="A1556">
            <v>99</v>
          </cell>
          <cell r="D1556">
            <v>1.8</v>
          </cell>
        </row>
        <row r="1557">
          <cell r="A1557">
            <v>132</v>
          </cell>
          <cell r="D1557">
            <v>1.2</v>
          </cell>
        </row>
        <row r="1558">
          <cell r="A1558">
            <v>107</v>
          </cell>
          <cell r="D1558">
            <v>0.8</v>
          </cell>
        </row>
        <row r="1559">
          <cell r="A1559">
            <v>99</v>
          </cell>
          <cell r="D1559">
            <v>1.8</v>
          </cell>
        </row>
        <row r="1560">
          <cell r="A1560">
            <v>55</v>
          </cell>
          <cell r="D1560">
            <v>5</v>
          </cell>
        </row>
        <row r="1561">
          <cell r="A1561">
            <v>93</v>
          </cell>
          <cell r="D1561">
            <v>35.299999999999997</v>
          </cell>
        </row>
        <row r="1562">
          <cell r="A1562">
            <v>2</v>
          </cell>
          <cell r="D1562">
            <v>67.5</v>
          </cell>
        </row>
        <row r="1563">
          <cell r="A1563">
            <v>86</v>
          </cell>
          <cell r="D1563">
            <v>0.7</v>
          </cell>
        </row>
        <row r="1564">
          <cell r="A1564">
            <v>29</v>
          </cell>
          <cell r="D1564">
            <v>1.6</v>
          </cell>
        </row>
        <row r="1565">
          <cell r="A1565">
            <v>159</v>
          </cell>
          <cell r="D1565">
            <v>1.2</v>
          </cell>
        </row>
        <row r="1566">
          <cell r="A1566">
            <v>109</v>
          </cell>
          <cell r="D1566">
            <v>0.9</v>
          </cell>
        </row>
        <row r="1567">
          <cell r="A1567">
            <v>71</v>
          </cell>
          <cell r="D1567">
            <v>1.8</v>
          </cell>
        </row>
        <row r="1568">
          <cell r="A1568">
            <v>88</v>
          </cell>
          <cell r="D1568">
            <v>2</v>
          </cell>
        </row>
        <row r="1569">
          <cell r="A1569">
            <v>53</v>
          </cell>
          <cell r="D1569">
            <v>167.3</v>
          </cell>
        </row>
        <row r="1570">
          <cell r="A1570">
            <v>158</v>
          </cell>
          <cell r="D1570">
            <v>9.8000000000000007</v>
          </cell>
        </row>
        <row r="1571">
          <cell r="A1571">
            <v>81</v>
          </cell>
          <cell r="D1571">
            <v>3.9</v>
          </cell>
        </row>
        <row r="1572">
          <cell r="A1572">
            <v>70</v>
          </cell>
          <cell r="D1572">
            <v>1.9</v>
          </cell>
        </row>
        <row r="1573">
          <cell r="A1573">
            <v>102</v>
          </cell>
          <cell r="D1573">
            <v>2.4</v>
          </cell>
        </row>
        <row r="1574">
          <cell r="A1574">
            <v>17</v>
          </cell>
          <cell r="D1574">
            <v>5.2</v>
          </cell>
        </row>
        <row r="1575">
          <cell r="A1575">
            <v>160</v>
          </cell>
          <cell r="D1575">
            <v>7.3</v>
          </cell>
        </row>
        <row r="1576">
          <cell r="A1576">
            <v>57</v>
          </cell>
          <cell r="D1576">
            <v>3.3</v>
          </cell>
        </row>
        <row r="1577">
          <cell r="A1577">
            <v>160</v>
          </cell>
          <cell r="D1577">
            <v>4.3</v>
          </cell>
        </row>
        <row r="1578">
          <cell r="A1578">
            <v>147</v>
          </cell>
          <cell r="D1578">
            <v>0.5</v>
          </cell>
        </row>
        <row r="1579">
          <cell r="A1579">
            <v>52</v>
          </cell>
          <cell r="D1579">
            <v>8.8000000000000007</v>
          </cell>
        </row>
        <row r="1580">
          <cell r="A1580">
            <v>71</v>
          </cell>
          <cell r="D1580">
            <v>1</v>
          </cell>
        </row>
        <row r="1581">
          <cell r="A1581">
            <v>92</v>
          </cell>
          <cell r="D1581">
            <v>0.8</v>
          </cell>
        </row>
        <row r="1582">
          <cell r="A1582">
            <v>38</v>
          </cell>
          <cell r="D1582">
            <v>2.9</v>
          </cell>
        </row>
        <row r="1583">
          <cell r="A1583">
            <v>137</v>
          </cell>
          <cell r="D1583">
            <v>7.1</v>
          </cell>
        </row>
        <row r="1584">
          <cell r="A1584">
            <v>133</v>
          </cell>
          <cell r="D1584">
            <v>6</v>
          </cell>
        </row>
        <row r="1585">
          <cell r="A1585">
            <v>107</v>
          </cell>
          <cell r="D1585">
            <v>1</v>
          </cell>
        </row>
        <row r="1586">
          <cell r="A1586">
            <v>144</v>
          </cell>
          <cell r="D1586">
            <v>4</v>
          </cell>
        </row>
        <row r="1587">
          <cell r="A1587">
            <v>112</v>
          </cell>
          <cell r="D1587">
            <v>6</v>
          </cell>
        </row>
        <row r="1588">
          <cell r="A1588">
            <v>33</v>
          </cell>
          <cell r="D1588">
            <v>2</v>
          </cell>
        </row>
        <row r="1589">
          <cell r="A1589">
            <v>99</v>
          </cell>
          <cell r="D1589">
            <v>1.3</v>
          </cell>
        </row>
        <row r="1590">
          <cell r="A1590">
            <v>61</v>
          </cell>
          <cell r="D1590">
            <v>22</v>
          </cell>
        </row>
        <row r="1591">
          <cell r="A1591">
            <v>99</v>
          </cell>
          <cell r="D1591">
            <v>1.3</v>
          </cell>
        </row>
        <row r="1592">
          <cell r="A1592">
            <v>35</v>
          </cell>
          <cell r="D1592">
            <v>1.1000000000000001</v>
          </cell>
        </row>
        <row r="1593">
          <cell r="A1593">
            <v>17</v>
          </cell>
          <cell r="D1593">
            <v>2.2999999999999998</v>
          </cell>
        </row>
        <row r="1594">
          <cell r="A1594">
            <v>122</v>
          </cell>
          <cell r="D1594">
            <v>1.5</v>
          </cell>
        </row>
        <row r="1595">
          <cell r="A1595">
            <v>61</v>
          </cell>
          <cell r="D1595">
            <v>6.4</v>
          </cell>
        </row>
        <row r="1596">
          <cell r="A1596">
            <v>63</v>
          </cell>
          <cell r="D1596">
            <v>0.6</v>
          </cell>
        </row>
        <row r="1597">
          <cell r="A1597">
            <v>86</v>
          </cell>
          <cell r="D1597">
            <v>6.8</v>
          </cell>
        </row>
        <row r="1598">
          <cell r="A1598">
            <v>29</v>
          </cell>
          <cell r="D1598">
            <v>2.6</v>
          </cell>
        </row>
        <row r="1599">
          <cell r="A1599">
            <v>81</v>
          </cell>
          <cell r="D1599">
            <v>2.7</v>
          </cell>
        </row>
        <row r="1600">
          <cell r="A1600">
            <v>88</v>
          </cell>
          <cell r="D1600">
            <v>2.2000000000000002</v>
          </cell>
        </row>
        <row r="1601">
          <cell r="A1601">
            <v>53</v>
          </cell>
          <cell r="D1601">
            <v>263.2</v>
          </cell>
        </row>
        <row r="1602">
          <cell r="A1602">
            <v>116</v>
          </cell>
          <cell r="D1602">
            <v>11.6</v>
          </cell>
        </row>
        <row r="1603">
          <cell r="A1603">
            <v>160</v>
          </cell>
          <cell r="D1603">
            <v>12.7</v>
          </cell>
        </row>
        <row r="1604">
          <cell r="A1604">
            <v>5</v>
          </cell>
          <cell r="D1604">
            <v>2</v>
          </cell>
        </row>
        <row r="1605">
          <cell r="A1605">
            <v>57</v>
          </cell>
          <cell r="D1605">
            <v>1.2</v>
          </cell>
        </row>
        <row r="1606">
          <cell r="A1606">
            <v>116</v>
          </cell>
          <cell r="D1606">
            <v>13.7</v>
          </cell>
        </row>
        <row r="1607">
          <cell r="A1607">
            <v>160</v>
          </cell>
          <cell r="D1607">
            <v>4.2</v>
          </cell>
        </row>
        <row r="1608">
          <cell r="A1608">
            <v>61</v>
          </cell>
          <cell r="D1608">
            <v>30.8</v>
          </cell>
        </row>
        <row r="1609">
          <cell r="A1609">
            <v>53</v>
          </cell>
          <cell r="D1609">
            <v>55.2</v>
          </cell>
        </row>
        <row r="1610">
          <cell r="A1610">
            <v>38</v>
          </cell>
          <cell r="D1610">
            <v>9.3000000000000007</v>
          </cell>
        </row>
        <row r="1611">
          <cell r="A1611">
            <v>112</v>
          </cell>
          <cell r="D1611">
            <v>6</v>
          </cell>
        </row>
        <row r="1612">
          <cell r="A1612">
            <v>30</v>
          </cell>
          <cell r="D1612">
            <v>1.9</v>
          </cell>
        </row>
        <row r="1613">
          <cell r="A1613">
            <v>53</v>
          </cell>
          <cell r="D1613">
            <v>16.600000000000001</v>
          </cell>
        </row>
        <row r="1614">
          <cell r="A1614">
            <v>160</v>
          </cell>
          <cell r="D1614">
            <v>27.4</v>
          </cell>
        </row>
        <row r="1615">
          <cell r="A1615">
            <v>57</v>
          </cell>
          <cell r="D1615">
            <v>9.6999999999999993</v>
          </cell>
        </row>
        <row r="1616">
          <cell r="A1616">
            <v>52</v>
          </cell>
          <cell r="D1616">
            <v>9.3000000000000007</v>
          </cell>
        </row>
        <row r="1617">
          <cell r="A1617">
            <v>133</v>
          </cell>
          <cell r="D1617">
            <v>3.5</v>
          </cell>
        </row>
        <row r="1618">
          <cell r="A1618">
            <v>71</v>
          </cell>
          <cell r="D1618">
            <v>2.1</v>
          </cell>
        </row>
        <row r="1619">
          <cell r="A1619">
            <v>12</v>
          </cell>
          <cell r="D1619">
            <v>1.8</v>
          </cell>
        </row>
        <row r="1620">
          <cell r="A1620">
            <v>58</v>
          </cell>
          <cell r="D1620">
            <v>2.2999999999999998</v>
          </cell>
        </row>
        <row r="1621">
          <cell r="A1621">
            <v>38</v>
          </cell>
          <cell r="D1621">
            <v>2.5</v>
          </cell>
        </row>
        <row r="1622">
          <cell r="A1622">
            <v>61</v>
          </cell>
          <cell r="D1622">
            <v>91.6</v>
          </cell>
        </row>
        <row r="1623">
          <cell r="A1623">
            <v>99</v>
          </cell>
          <cell r="D1623">
            <v>3.3</v>
          </cell>
        </row>
        <row r="1624">
          <cell r="A1624">
            <v>109</v>
          </cell>
          <cell r="D1624">
            <v>4.5999999999999996</v>
          </cell>
        </row>
        <row r="1625">
          <cell r="A1625">
            <v>132</v>
          </cell>
          <cell r="D1625">
            <v>7.5</v>
          </cell>
        </row>
        <row r="1626">
          <cell r="A1626">
            <v>133</v>
          </cell>
          <cell r="D1626">
            <v>0.9</v>
          </cell>
        </row>
        <row r="1627">
          <cell r="A1627">
            <v>122</v>
          </cell>
          <cell r="D1627">
            <v>1.1000000000000001</v>
          </cell>
        </row>
        <row r="1628">
          <cell r="A1628">
            <v>17</v>
          </cell>
          <cell r="D1628">
            <v>4.4000000000000004</v>
          </cell>
        </row>
        <row r="1629">
          <cell r="A1629">
            <v>137</v>
          </cell>
          <cell r="D1629">
            <v>2.1</v>
          </cell>
        </row>
        <row r="1630">
          <cell r="A1630">
            <v>35</v>
          </cell>
          <cell r="D1630">
            <v>2</v>
          </cell>
        </row>
        <row r="1631">
          <cell r="A1631">
            <v>30</v>
          </cell>
          <cell r="D1631">
            <v>4</v>
          </cell>
        </row>
        <row r="1632">
          <cell r="A1632">
            <v>23</v>
          </cell>
          <cell r="D1632">
            <v>0.5</v>
          </cell>
        </row>
        <row r="1633">
          <cell r="A1633">
            <v>160</v>
          </cell>
          <cell r="D1633">
            <v>2.8</v>
          </cell>
        </row>
        <row r="1634">
          <cell r="A1634">
            <v>70</v>
          </cell>
          <cell r="D1634">
            <v>3.6</v>
          </cell>
        </row>
        <row r="1635">
          <cell r="A1635">
            <v>38</v>
          </cell>
          <cell r="D1635">
            <v>3.1</v>
          </cell>
        </row>
        <row r="1636">
          <cell r="A1636">
            <v>88</v>
          </cell>
          <cell r="D1636">
            <v>3.5</v>
          </cell>
        </row>
        <row r="1637">
          <cell r="A1637">
            <v>70</v>
          </cell>
          <cell r="D1637">
            <v>1.1000000000000001</v>
          </cell>
        </row>
        <row r="1638">
          <cell r="A1638">
            <v>144</v>
          </cell>
          <cell r="D1638">
            <v>6.7</v>
          </cell>
        </row>
        <row r="1639">
          <cell r="A1639">
            <v>29</v>
          </cell>
          <cell r="D1639">
            <v>7.3</v>
          </cell>
        </row>
        <row r="1640">
          <cell r="A1640">
            <v>55</v>
          </cell>
          <cell r="D1640">
            <v>12.1</v>
          </cell>
        </row>
        <row r="1641">
          <cell r="A1641">
            <v>53</v>
          </cell>
          <cell r="D1641">
            <v>133.9</v>
          </cell>
        </row>
        <row r="1642">
          <cell r="A1642">
            <v>81</v>
          </cell>
          <cell r="D1642">
            <v>3.7</v>
          </cell>
        </row>
        <row r="1643">
          <cell r="A1643">
            <v>123</v>
          </cell>
          <cell r="D1643">
            <v>0.7</v>
          </cell>
        </row>
        <row r="1644">
          <cell r="A1644">
            <v>12</v>
          </cell>
          <cell r="D1644">
            <v>2.7</v>
          </cell>
        </row>
        <row r="1645">
          <cell r="A1645">
            <v>116</v>
          </cell>
          <cell r="D1645">
            <v>20.2</v>
          </cell>
        </row>
        <row r="1646">
          <cell r="A1646">
            <v>160</v>
          </cell>
          <cell r="D1646">
            <v>4.9000000000000004</v>
          </cell>
        </row>
        <row r="1647">
          <cell r="A1647">
            <v>61</v>
          </cell>
          <cell r="D1647">
            <v>0.4</v>
          </cell>
        </row>
        <row r="1648">
          <cell r="A1648">
            <v>63</v>
          </cell>
          <cell r="D1648">
            <v>2.7</v>
          </cell>
        </row>
        <row r="1649">
          <cell r="A1649">
            <v>61</v>
          </cell>
          <cell r="D1649">
            <v>4.3</v>
          </cell>
        </row>
        <row r="1650">
          <cell r="A1650">
            <v>57</v>
          </cell>
          <cell r="D1650">
            <v>10</v>
          </cell>
        </row>
        <row r="1651">
          <cell r="A1651">
            <v>160</v>
          </cell>
          <cell r="D1651">
            <v>4.3</v>
          </cell>
        </row>
        <row r="1652">
          <cell r="A1652">
            <v>52</v>
          </cell>
          <cell r="D1652">
            <v>2</v>
          </cell>
        </row>
        <row r="1653">
          <cell r="A1653">
            <v>92</v>
          </cell>
          <cell r="D1653">
            <v>0.7</v>
          </cell>
        </row>
        <row r="1654">
          <cell r="A1654">
            <v>38</v>
          </cell>
          <cell r="D1654">
            <v>7.3</v>
          </cell>
        </row>
        <row r="1655">
          <cell r="A1655">
            <v>112</v>
          </cell>
          <cell r="D1655">
            <v>5.0999999999999996</v>
          </cell>
        </row>
        <row r="1656">
          <cell r="A1656">
            <v>23</v>
          </cell>
          <cell r="D1656">
            <v>3.48</v>
          </cell>
        </row>
        <row r="1657">
          <cell r="A1657">
            <v>12</v>
          </cell>
          <cell r="D1657">
            <v>2.4</v>
          </cell>
        </row>
        <row r="1658">
          <cell r="A1658">
            <v>4</v>
          </cell>
          <cell r="D1658">
            <v>1.4</v>
          </cell>
        </row>
        <row r="1659">
          <cell r="A1659">
            <v>63</v>
          </cell>
          <cell r="D1659">
            <v>0.8</v>
          </cell>
        </row>
        <row r="1660">
          <cell r="A1660">
            <v>61</v>
          </cell>
          <cell r="D1660">
            <v>0.3</v>
          </cell>
        </row>
        <row r="1661">
          <cell r="A1661">
            <v>137</v>
          </cell>
          <cell r="D1661">
            <v>9.6999999999999993</v>
          </cell>
        </row>
        <row r="1662">
          <cell r="A1662">
            <v>99</v>
          </cell>
          <cell r="D1662">
            <v>1</v>
          </cell>
        </row>
        <row r="1663">
          <cell r="A1663">
            <v>57</v>
          </cell>
          <cell r="D1663">
            <v>3.4</v>
          </cell>
        </row>
        <row r="1664">
          <cell r="A1664">
            <v>160</v>
          </cell>
          <cell r="D1664">
            <v>8.1999999999999993</v>
          </cell>
        </row>
        <row r="1665">
          <cell r="A1665">
            <v>33</v>
          </cell>
          <cell r="D1665">
            <v>1.6</v>
          </cell>
        </row>
        <row r="1666">
          <cell r="A1666">
            <v>30</v>
          </cell>
          <cell r="D1666">
            <v>1.7</v>
          </cell>
        </row>
        <row r="1667">
          <cell r="A1667">
            <v>154</v>
          </cell>
          <cell r="D1667">
            <v>3.3</v>
          </cell>
        </row>
        <row r="1668">
          <cell r="A1668">
            <v>109</v>
          </cell>
          <cell r="D1668">
            <v>2.4</v>
          </cell>
        </row>
        <row r="1669">
          <cell r="A1669">
            <v>88</v>
          </cell>
          <cell r="D1669">
            <v>1.7</v>
          </cell>
        </row>
        <row r="1670">
          <cell r="A1670">
            <v>71</v>
          </cell>
          <cell r="D1670">
            <v>0.9</v>
          </cell>
        </row>
        <row r="1671">
          <cell r="A1671">
            <v>70</v>
          </cell>
          <cell r="D1671">
            <v>1.2</v>
          </cell>
        </row>
        <row r="1672">
          <cell r="A1672">
            <v>35</v>
          </cell>
          <cell r="D1672">
            <v>1.7</v>
          </cell>
        </row>
        <row r="1673">
          <cell r="A1673">
            <v>29</v>
          </cell>
          <cell r="D1673">
            <v>5.6</v>
          </cell>
        </row>
        <row r="1674">
          <cell r="A1674">
            <v>53</v>
          </cell>
          <cell r="D1674">
            <v>100.8</v>
          </cell>
        </row>
        <row r="1675">
          <cell r="A1675">
            <v>55</v>
          </cell>
          <cell r="D1675">
            <v>18.7</v>
          </cell>
        </row>
        <row r="1676">
          <cell r="A1676">
            <v>81</v>
          </cell>
          <cell r="D1676">
            <v>1.9</v>
          </cell>
        </row>
        <row r="1677">
          <cell r="A1677">
            <v>116</v>
          </cell>
          <cell r="D1677">
            <v>4.8</v>
          </cell>
        </row>
        <row r="1678">
          <cell r="A1678">
            <v>5</v>
          </cell>
          <cell r="D1678">
            <v>2.2999999999999998</v>
          </cell>
        </row>
        <row r="1679">
          <cell r="A1679">
            <v>160</v>
          </cell>
          <cell r="D1679">
            <v>9.9</v>
          </cell>
        </row>
        <row r="1680">
          <cell r="A1680">
            <v>52</v>
          </cell>
          <cell r="D1680">
            <v>6.9</v>
          </cell>
        </row>
        <row r="1681">
          <cell r="A1681">
            <v>12</v>
          </cell>
          <cell r="D1681">
            <v>3.5</v>
          </cell>
        </row>
        <row r="1682">
          <cell r="A1682">
            <v>137</v>
          </cell>
          <cell r="D1682">
            <v>9.6999999999999993</v>
          </cell>
        </row>
        <row r="1683">
          <cell r="A1683">
            <v>71</v>
          </cell>
          <cell r="D1683">
            <v>1.6</v>
          </cell>
        </row>
        <row r="1684">
          <cell r="A1684">
            <v>38</v>
          </cell>
          <cell r="D1684">
            <v>2.9</v>
          </cell>
        </row>
        <row r="1685">
          <cell r="A1685">
            <v>119</v>
          </cell>
          <cell r="D1685">
            <v>5.4</v>
          </cell>
        </row>
        <row r="1686">
          <cell r="A1686">
            <v>99</v>
          </cell>
          <cell r="D1686">
            <v>1.3</v>
          </cell>
        </row>
        <row r="1687">
          <cell r="A1687">
            <v>131</v>
          </cell>
          <cell r="D1687">
            <v>1</v>
          </cell>
        </row>
        <row r="1688">
          <cell r="A1688">
            <v>133</v>
          </cell>
          <cell r="D1688">
            <v>1.2</v>
          </cell>
        </row>
        <row r="1689">
          <cell r="A1689">
            <v>109</v>
          </cell>
          <cell r="D1689">
            <v>0.6</v>
          </cell>
        </row>
        <row r="1690">
          <cell r="A1690">
            <v>132</v>
          </cell>
          <cell r="D1690">
            <v>0.5</v>
          </cell>
        </row>
        <row r="1691">
          <cell r="A1691">
            <v>99</v>
          </cell>
          <cell r="D1691">
            <v>1.3</v>
          </cell>
        </row>
        <row r="1692">
          <cell r="A1692">
            <v>140</v>
          </cell>
          <cell r="D1692">
            <v>2</v>
          </cell>
        </row>
        <row r="1693">
          <cell r="A1693">
            <v>133</v>
          </cell>
          <cell r="D1693">
            <v>1.5</v>
          </cell>
        </row>
        <row r="1694">
          <cell r="A1694">
            <v>122</v>
          </cell>
          <cell r="D1694">
            <v>0.9</v>
          </cell>
        </row>
        <row r="1695">
          <cell r="A1695">
            <v>88</v>
          </cell>
          <cell r="D1695">
            <v>1.6</v>
          </cell>
        </row>
        <row r="1696">
          <cell r="A1696">
            <v>30</v>
          </cell>
          <cell r="D1696">
            <v>1.9</v>
          </cell>
        </row>
        <row r="1697">
          <cell r="A1697">
            <v>107</v>
          </cell>
          <cell r="D1697">
            <v>1.3</v>
          </cell>
        </row>
        <row r="1698">
          <cell r="A1698">
            <v>61</v>
          </cell>
          <cell r="D1698">
            <v>62</v>
          </cell>
        </row>
        <row r="1699">
          <cell r="A1699">
            <v>17</v>
          </cell>
          <cell r="D1699">
            <v>2.8</v>
          </cell>
        </row>
        <row r="1700">
          <cell r="A1700">
            <v>137</v>
          </cell>
          <cell r="D1700">
            <v>1.7</v>
          </cell>
        </row>
        <row r="1701">
          <cell r="A1701">
            <v>159</v>
          </cell>
          <cell r="D1701">
            <v>3.7</v>
          </cell>
        </row>
        <row r="1702">
          <cell r="A1702">
            <v>102</v>
          </cell>
          <cell r="D1702">
            <v>4.2</v>
          </cell>
        </row>
        <row r="1703">
          <cell r="A1703">
            <v>144</v>
          </cell>
          <cell r="D1703">
            <v>2.2999999999999998</v>
          </cell>
        </row>
        <row r="1704">
          <cell r="A1704">
            <v>123</v>
          </cell>
          <cell r="D1704">
            <v>1.3</v>
          </cell>
        </row>
        <row r="1705">
          <cell r="A1705">
            <v>81</v>
          </cell>
          <cell r="D1705">
            <v>5.2</v>
          </cell>
        </row>
        <row r="1706">
          <cell r="A1706">
            <v>53</v>
          </cell>
          <cell r="D1706">
            <v>103</v>
          </cell>
        </row>
        <row r="1707">
          <cell r="A1707">
            <v>55</v>
          </cell>
          <cell r="D1707">
            <v>3.6</v>
          </cell>
        </row>
        <row r="1708">
          <cell r="A1708">
            <v>160</v>
          </cell>
          <cell r="D1708">
            <v>12.7</v>
          </cell>
        </row>
        <row r="1709">
          <cell r="A1709">
            <v>61</v>
          </cell>
          <cell r="D1709">
            <v>0.6</v>
          </cell>
        </row>
        <row r="1710">
          <cell r="A1710">
            <v>116</v>
          </cell>
          <cell r="D1710">
            <v>78.400000000000006</v>
          </cell>
        </row>
        <row r="1711">
          <cell r="A1711">
            <v>61</v>
          </cell>
          <cell r="D1711">
            <v>27.5</v>
          </cell>
        </row>
        <row r="1712">
          <cell r="A1712">
            <v>160</v>
          </cell>
          <cell r="D1712" t="str">
            <v>77]</v>
          </cell>
        </row>
        <row r="1713">
          <cell r="A1713">
            <v>17</v>
          </cell>
          <cell r="D1713">
            <v>0.9</v>
          </cell>
        </row>
        <row r="1714">
          <cell r="A1714">
            <v>38</v>
          </cell>
          <cell r="D1714">
            <v>4.0999999999999996</v>
          </cell>
        </row>
        <row r="1715">
          <cell r="A1715">
            <v>123</v>
          </cell>
          <cell r="D1715">
            <v>29.8</v>
          </cell>
        </row>
        <row r="1716">
          <cell r="A1716">
            <v>70</v>
          </cell>
          <cell r="D1716">
            <v>1.9</v>
          </cell>
        </row>
        <row r="1717">
          <cell r="A1717">
            <v>71</v>
          </cell>
          <cell r="D1717">
            <v>1.3</v>
          </cell>
        </row>
        <row r="1718">
          <cell r="A1718">
            <v>12</v>
          </cell>
          <cell r="D1718">
            <v>1.6</v>
          </cell>
        </row>
        <row r="1719">
          <cell r="A1719">
            <v>144</v>
          </cell>
          <cell r="D1719">
            <v>1.8</v>
          </cell>
        </row>
        <row r="1720">
          <cell r="A1720">
            <v>109</v>
          </cell>
          <cell r="D1720">
            <v>2.2999999999999998</v>
          </cell>
        </row>
        <row r="1721">
          <cell r="A1721">
            <v>116</v>
          </cell>
          <cell r="D1721">
            <v>29.2</v>
          </cell>
        </row>
        <row r="1722">
          <cell r="A1722">
            <v>160</v>
          </cell>
          <cell r="D1722">
            <v>17.899999999999999</v>
          </cell>
        </row>
        <row r="1723">
          <cell r="A1723">
            <v>30</v>
          </cell>
          <cell r="D1723">
            <v>2.2000000000000002</v>
          </cell>
        </row>
        <row r="1724">
          <cell r="A1724">
            <v>33</v>
          </cell>
          <cell r="D1724">
            <v>1.1000000000000001</v>
          </cell>
        </row>
        <row r="1725">
          <cell r="A1725">
            <v>92</v>
          </cell>
          <cell r="D1725">
            <v>1.1000000000000001</v>
          </cell>
        </row>
        <row r="1726">
          <cell r="A1726">
            <v>35</v>
          </cell>
          <cell r="D1726">
            <v>1</v>
          </cell>
        </row>
        <row r="1727">
          <cell r="A1727">
            <v>131</v>
          </cell>
          <cell r="D1727">
            <v>3.1</v>
          </cell>
        </row>
        <row r="1728">
          <cell r="A1728">
            <v>133</v>
          </cell>
          <cell r="D1728">
            <v>0.4</v>
          </cell>
        </row>
        <row r="1729">
          <cell r="A1729">
            <v>137</v>
          </cell>
          <cell r="D1729">
            <v>14.9</v>
          </cell>
        </row>
        <row r="1730">
          <cell r="A1730">
            <v>86</v>
          </cell>
          <cell r="D1730">
            <v>1.4</v>
          </cell>
        </row>
        <row r="1731">
          <cell r="A1731">
            <v>88</v>
          </cell>
          <cell r="D1731">
            <v>1.4</v>
          </cell>
        </row>
        <row r="1732">
          <cell r="A1732">
            <v>53</v>
          </cell>
          <cell r="D1732">
            <v>120.5</v>
          </cell>
        </row>
        <row r="1733">
          <cell r="A1733">
            <v>55</v>
          </cell>
          <cell r="D1733">
            <v>25.5</v>
          </cell>
        </row>
        <row r="1734">
          <cell r="A1734">
            <v>81</v>
          </cell>
          <cell r="D1734">
            <v>1.8</v>
          </cell>
        </row>
        <row r="1735">
          <cell r="A1735">
            <v>140</v>
          </cell>
          <cell r="D1735">
            <v>108.8</v>
          </cell>
        </row>
        <row r="1736">
          <cell r="A1736">
            <v>116</v>
          </cell>
          <cell r="D1736">
            <v>6.3</v>
          </cell>
        </row>
        <row r="1737">
          <cell r="A1737">
            <v>160</v>
          </cell>
          <cell r="D1737">
            <v>10.1</v>
          </cell>
        </row>
        <row r="1738">
          <cell r="A1738">
            <v>61</v>
          </cell>
          <cell r="D1738">
            <v>15</v>
          </cell>
        </row>
        <row r="1739">
          <cell r="A1739">
            <v>158</v>
          </cell>
          <cell r="D1739">
            <v>7.3</v>
          </cell>
        </row>
        <row r="1740">
          <cell r="A1740">
            <v>57</v>
          </cell>
          <cell r="D1740">
            <v>2.7</v>
          </cell>
        </row>
        <row r="1741">
          <cell r="A1741">
            <v>116</v>
          </cell>
          <cell r="D1741">
            <v>17.8</v>
          </cell>
        </row>
        <row r="1742">
          <cell r="A1742">
            <v>137</v>
          </cell>
          <cell r="D1742">
            <v>8.6</v>
          </cell>
        </row>
        <row r="1743">
          <cell r="A1743">
            <v>38</v>
          </cell>
          <cell r="D1743">
            <v>2.7</v>
          </cell>
        </row>
        <row r="1744">
          <cell r="A1744">
            <v>71</v>
          </cell>
          <cell r="D1744">
            <v>2.2000000000000002</v>
          </cell>
        </row>
        <row r="1745">
          <cell r="A1745">
            <v>12</v>
          </cell>
          <cell r="D1745">
            <v>1.3</v>
          </cell>
        </row>
        <row r="1746">
          <cell r="A1746">
            <v>30</v>
          </cell>
          <cell r="D1746">
            <v>2.2999999999999998</v>
          </cell>
        </row>
        <row r="1747">
          <cell r="A1747">
            <v>99</v>
          </cell>
          <cell r="D1747">
            <v>0.9</v>
          </cell>
        </row>
        <row r="1748">
          <cell r="A1748">
            <v>38</v>
          </cell>
          <cell r="D1748">
            <v>2.2999999999999998</v>
          </cell>
        </row>
        <row r="1749">
          <cell r="A1749">
            <v>131</v>
          </cell>
          <cell r="D1749">
            <v>5.9</v>
          </cell>
        </row>
        <row r="1750">
          <cell r="A1750">
            <v>92</v>
          </cell>
          <cell r="D1750">
            <v>1.1000000000000001</v>
          </cell>
        </row>
        <row r="1751">
          <cell r="A1751">
            <v>122</v>
          </cell>
          <cell r="D1751">
            <v>0.7</v>
          </cell>
        </row>
        <row r="1752">
          <cell r="A1752">
            <v>137</v>
          </cell>
          <cell r="D1752">
            <v>0.5</v>
          </cell>
        </row>
        <row r="1753">
          <cell r="A1753">
            <v>109</v>
          </cell>
          <cell r="D1753">
            <v>0.9</v>
          </cell>
        </row>
        <row r="1754">
          <cell r="A1754">
            <v>88</v>
          </cell>
          <cell r="D1754">
            <v>1.9</v>
          </cell>
        </row>
        <row r="1755">
          <cell r="A1755">
            <v>17</v>
          </cell>
          <cell r="D1755">
            <v>6.5</v>
          </cell>
        </row>
        <row r="1756">
          <cell r="A1756">
            <v>29</v>
          </cell>
          <cell r="D1756">
            <v>3.6</v>
          </cell>
        </row>
        <row r="1757">
          <cell r="A1757">
            <v>93</v>
          </cell>
          <cell r="D1757">
            <v>17</v>
          </cell>
        </row>
        <row r="1758">
          <cell r="A1758">
            <v>55</v>
          </cell>
          <cell r="D1758">
            <v>74.5</v>
          </cell>
        </row>
        <row r="1759">
          <cell r="A1759">
            <v>53</v>
          </cell>
          <cell r="D1759">
            <v>41.2</v>
          </cell>
        </row>
        <row r="1760">
          <cell r="A1760">
            <v>35</v>
          </cell>
          <cell r="D1760">
            <v>1</v>
          </cell>
        </row>
        <row r="1761">
          <cell r="A1761">
            <v>144</v>
          </cell>
          <cell r="D1761">
            <v>4.8</v>
          </cell>
        </row>
        <row r="1762">
          <cell r="A1762">
            <v>81</v>
          </cell>
          <cell r="D1762">
            <v>1.1000000000000001</v>
          </cell>
        </row>
        <row r="1763">
          <cell r="A1763">
            <v>159</v>
          </cell>
          <cell r="D1763">
            <v>1.9</v>
          </cell>
        </row>
        <row r="1764">
          <cell r="A1764">
            <v>5</v>
          </cell>
          <cell r="D1764">
            <v>1.5</v>
          </cell>
        </row>
        <row r="1765">
          <cell r="A1765">
            <v>70</v>
          </cell>
          <cell r="D1765">
            <v>4.9000000000000004</v>
          </cell>
        </row>
        <row r="1766">
          <cell r="A1766">
            <v>116</v>
          </cell>
          <cell r="D1766">
            <v>11.3</v>
          </cell>
        </row>
        <row r="1767">
          <cell r="A1767">
            <v>12</v>
          </cell>
          <cell r="D1767">
            <v>1.7</v>
          </cell>
        </row>
        <row r="1768">
          <cell r="A1768">
            <v>71</v>
          </cell>
          <cell r="D1768">
            <v>2.5</v>
          </cell>
        </row>
        <row r="1769">
          <cell r="A1769">
            <v>92</v>
          </cell>
          <cell r="D1769">
            <v>1.4</v>
          </cell>
        </row>
        <row r="1770">
          <cell r="A1770">
            <v>33</v>
          </cell>
          <cell r="D1770">
            <v>3.2</v>
          </cell>
        </row>
        <row r="1771">
          <cell r="A1771">
            <v>109</v>
          </cell>
          <cell r="D1771">
            <v>2.2000000000000002</v>
          </cell>
        </row>
        <row r="1772">
          <cell r="A1772">
            <v>123</v>
          </cell>
          <cell r="D1772">
            <v>1</v>
          </cell>
        </row>
        <row r="1773">
          <cell r="A1773">
            <v>137</v>
          </cell>
          <cell r="D1773">
            <v>3</v>
          </cell>
        </row>
        <row r="1774">
          <cell r="A1774">
            <v>61</v>
          </cell>
          <cell r="D1774">
            <v>187.4</v>
          </cell>
        </row>
        <row r="1775">
          <cell r="A1775">
            <v>30</v>
          </cell>
          <cell r="D1775">
            <v>4.0999999999999996</v>
          </cell>
        </row>
        <row r="1776">
          <cell r="A1776">
            <v>70</v>
          </cell>
          <cell r="D1776">
            <v>7</v>
          </cell>
        </row>
        <row r="1777">
          <cell r="A1777">
            <v>63</v>
          </cell>
          <cell r="D1777">
            <v>3.8</v>
          </cell>
        </row>
        <row r="1778">
          <cell r="A1778">
            <v>160</v>
          </cell>
          <cell r="D1778">
            <v>6</v>
          </cell>
        </row>
        <row r="1779">
          <cell r="A1779">
            <v>5</v>
          </cell>
          <cell r="D1779">
            <v>1.5</v>
          </cell>
        </row>
        <row r="1780">
          <cell r="A1780">
            <v>29</v>
          </cell>
          <cell r="D1780">
            <v>9.1</v>
          </cell>
        </row>
        <row r="1781">
          <cell r="A1781">
            <v>102</v>
          </cell>
          <cell r="D1781">
            <v>4.5</v>
          </cell>
        </row>
        <row r="1782">
          <cell r="A1782">
            <v>35</v>
          </cell>
          <cell r="D1782">
            <v>1.4</v>
          </cell>
        </row>
        <row r="1783">
          <cell r="A1783">
            <v>55</v>
          </cell>
          <cell r="D1783">
            <v>14.8</v>
          </cell>
        </row>
        <row r="1784">
          <cell r="A1784">
            <v>53</v>
          </cell>
          <cell r="D1784">
            <v>8.8000000000000007</v>
          </cell>
        </row>
        <row r="1785">
          <cell r="A1785">
            <v>81</v>
          </cell>
          <cell r="D1785">
            <v>6.9</v>
          </cell>
        </row>
        <row r="1786">
          <cell r="A1786">
            <v>12</v>
          </cell>
          <cell r="D1786">
            <v>1.7</v>
          </cell>
        </row>
        <row r="1787">
          <cell r="A1787">
            <v>88</v>
          </cell>
          <cell r="D1787">
            <v>1.4</v>
          </cell>
        </row>
        <row r="1788">
          <cell r="A1788">
            <v>53</v>
          </cell>
          <cell r="D1788">
            <v>186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71</v>
          </cell>
        </row>
        <row r="74">
          <cell r="A74">
            <v>72</v>
          </cell>
        </row>
        <row r="75">
          <cell r="A75">
            <v>73</v>
          </cell>
        </row>
        <row r="76">
          <cell r="A76">
            <v>74</v>
          </cell>
        </row>
        <row r="77">
          <cell r="A77">
            <v>75</v>
          </cell>
        </row>
        <row r="78">
          <cell r="A78">
            <v>76</v>
          </cell>
        </row>
        <row r="79">
          <cell r="A79">
            <v>77</v>
          </cell>
        </row>
        <row r="80">
          <cell r="A80">
            <v>78</v>
          </cell>
        </row>
        <row r="81">
          <cell r="A81">
            <v>79</v>
          </cell>
        </row>
        <row r="82">
          <cell r="A82">
            <v>80</v>
          </cell>
        </row>
        <row r="83">
          <cell r="A83">
            <v>81</v>
          </cell>
        </row>
        <row r="84">
          <cell r="A84">
            <v>82</v>
          </cell>
        </row>
        <row r="85">
          <cell r="A85">
            <v>83</v>
          </cell>
        </row>
        <row r="86">
          <cell r="A86">
            <v>84</v>
          </cell>
        </row>
        <row r="87">
          <cell r="A87">
            <v>85</v>
          </cell>
        </row>
        <row r="88">
          <cell r="A88">
            <v>86</v>
          </cell>
        </row>
        <row r="89">
          <cell r="A89">
            <v>87</v>
          </cell>
        </row>
        <row r="90">
          <cell r="A90">
            <v>88</v>
          </cell>
        </row>
        <row r="91">
          <cell r="A91">
            <v>89</v>
          </cell>
        </row>
        <row r="92">
          <cell r="A92">
            <v>90</v>
          </cell>
        </row>
        <row r="93">
          <cell r="A93">
            <v>91</v>
          </cell>
        </row>
        <row r="94">
          <cell r="A94">
            <v>92</v>
          </cell>
        </row>
        <row r="95">
          <cell r="A95">
            <v>93</v>
          </cell>
        </row>
        <row r="96">
          <cell r="A96">
            <v>94</v>
          </cell>
        </row>
        <row r="97">
          <cell r="A97">
            <v>95</v>
          </cell>
        </row>
        <row r="98">
          <cell r="A98">
            <v>96</v>
          </cell>
        </row>
        <row r="99">
          <cell r="A99">
            <v>97</v>
          </cell>
        </row>
        <row r="100">
          <cell r="A100">
            <v>98</v>
          </cell>
        </row>
        <row r="101">
          <cell r="A101">
            <v>99</v>
          </cell>
        </row>
        <row r="102">
          <cell r="A102">
            <v>100</v>
          </cell>
        </row>
        <row r="103">
          <cell r="A103">
            <v>101</v>
          </cell>
        </row>
        <row r="104">
          <cell r="A104">
            <v>102</v>
          </cell>
        </row>
        <row r="105">
          <cell r="A105">
            <v>103</v>
          </cell>
        </row>
        <row r="106">
          <cell r="A106">
            <v>104</v>
          </cell>
        </row>
        <row r="107">
          <cell r="A107">
            <v>105</v>
          </cell>
        </row>
        <row r="108">
          <cell r="A108">
            <v>106</v>
          </cell>
        </row>
        <row r="109">
          <cell r="A109">
            <v>107</v>
          </cell>
        </row>
        <row r="110">
          <cell r="A110">
            <v>108</v>
          </cell>
        </row>
        <row r="111">
          <cell r="A111">
            <v>109</v>
          </cell>
        </row>
        <row r="112">
          <cell r="A112">
            <v>110</v>
          </cell>
        </row>
        <row r="113">
          <cell r="A113">
            <v>111</v>
          </cell>
        </row>
        <row r="114">
          <cell r="A114">
            <v>112</v>
          </cell>
        </row>
        <row r="115">
          <cell r="A115">
            <v>113</v>
          </cell>
        </row>
        <row r="116">
          <cell r="A116">
            <v>114</v>
          </cell>
        </row>
        <row r="117">
          <cell r="A117">
            <v>115</v>
          </cell>
        </row>
        <row r="118">
          <cell r="A118">
            <v>116</v>
          </cell>
        </row>
        <row r="119">
          <cell r="A119">
            <v>117</v>
          </cell>
        </row>
        <row r="120">
          <cell r="A120">
            <v>118</v>
          </cell>
        </row>
        <row r="121">
          <cell r="A121">
            <v>119</v>
          </cell>
        </row>
        <row r="122">
          <cell r="A122">
            <v>120</v>
          </cell>
        </row>
        <row r="123">
          <cell r="A123">
            <v>121</v>
          </cell>
        </row>
        <row r="124">
          <cell r="A124">
            <v>122</v>
          </cell>
        </row>
        <row r="125">
          <cell r="A125">
            <v>123</v>
          </cell>
        </row>
        <row r="126">
          <cell r="A126">
            <v>124</v>
          </cell>
        </row>
        <row r="127">
          <cell r="A127">
            <v>125</v>
          </cell>
        </row>
        <row r="128">
          <cell r="A128">
            <v>126</v>
          </cell>
        </row>
        <row r="129">
          <cell r="A129">
            <v>127</v>
          </cell>
        </row>
        <row r="130">
          <cell r="A130">
            <v>128</v>
          </cell>
        </row>
        <row r="131">
          <cell r="A131">
            <v>129</v>
          </cell>
        </row>
        <row r="132">
          <cell r="A132">
            <v>130</v>
          </cell>
        </row>
        <row r="133">
          <cell r="A133">
            <v>131</v>
          </cell>
        </row>
        <row r="134">
          <cell r="A134">
            <v>132</v>
          </cell>
        </row>
        <row r="135">
          <cell r="A135">
            <v>133</v>
          </cell>
        </row>
        <row r="136">
          <cell r="A136">
            <v>134</v>
          </cell>
        </row>
        <row r="137">
          <cell r="A137">
            <v>135</v>
          </cell>
        </row>
        <row r="138">
          <cell r="A138">
            <v>136</v>
          </cell>
        </row>
        <row r="139">
          <cell r="A139">
            <v>137</v>
          </cell>
        </row>
        <row r="140">
          <cell r="A140">
            <v>138</v>
          </cell>
        </row>
        <row r="141">
          <cell r="A141">
            <v>139</v>
          </cell>
        </row>
        <row r="142">
          <cell r="A142">
            <v>140</v>
          </cell>
        </row>
        <row r="143">
          <cell r="A143">
            <v>141</v>
          </cell>
        </row>
        <row r="144">
          <cell r="A144">
            <v>142</v>
          </cell>
        </row>
        <row r="145">
          <cell r="A145">
            <v>143</v>
          </cell>
        </row>
        <row r="146">
          <cell r="A146">
            <v>144</v>
          </cell>
        </row>
        <row r="147">
          <cell r="A147">
            <v>145</v>
          </cell>
        </row>
        <row r="148">
          <cell r="A148">
            <v>146</v>
          </cell>
        </row>
        <row r="149">
          <cell r="A149">
            <v>147</v>
          </cell>
        </row>
        <row r="150">
          <cell r="A150">
            <v>148</v>
          </cell>
        </row>
        <row r="151">
          <cell r="A151">
            <v>149</v>
          </cell>
        </row>
        <row r="152">
          <cell r="A152">
            <v>150</v>
          </cell>
        </row>
        <row r="153">
          <cell r="A153">
            <v>151</v>
          </cell>
        </row>
        <row r="154">
          <cell r="A154">
            <v>152</v>
          </cell>
        </row>
        <row r="155">
          <cell r="A155">
            <v>153</v>
          </cell>
        </row>
        <row r="156">
          <cell r="A156">
            <v>154</v>
          </cell>
        </row>
        <row r="157">
          <cell r="A157">
            <v>155</v>
          </cell>
        </row>
        <row r="158">
          <cell r="A158">
            <v>156</v>
          </cell>
        </row>
        <row r="159">
          <cell r="A159">
            <v>157</v>
          </cell>
        </row>
        <row r="160">
          <cell r="A160">
            <v>158</v>
          </cell>
        </row>
        <row r="161">
          <cell r="A161">
            <v>159</v>
          </cell>
        </row>
        <row r="162">
          <cell r="A162">
            <v>160</v>
          </cell>
        </row>
      </sheetData>
      <sheetData sheetId="8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9B3D353-F8EA-4809-B89F-619CF7706775}" autoFormatId="16" applyNumberFormats="0" applyBorderFormats="0" applyFontFormats="0" applyPatternFormats="0" applyAlignmentFormats="0" applyWidthHeightFormats="0">
  <queryTableRefresh nextId="9">
    <queryTableFields count="8">
      <queryTableField id="1" name="N° ID" tableColumnId="1"/>
      <queryTableField id="2" name="Nome:" tableColumnId="2"/>
      <queryTableField id="3" name="Diretoria:" tableColumnId="3"/>
      <queryTableField id="4" name="Somatório" tableColumnId="4"/>
      <queryTableField id="5" name="Broche" tableColumnId="5"/>
      <queryTableField id="6" name="Mochila" tableColumnId="6"/>
      <queryTableField id="7" name="Quantidade retirada (sacos de composto orgânico)" tableColumnId="7"/>
      <queryTableField id="8" name="Quantidade de Pacotes disponíveis de composto orgânico_x000a_(1 pacote / 10 kg)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EC00C-E1B2-4E48-BF30-82E59012B17C}" name="Somatorio" displayName="Somatorio" ref="B2:I162" headerRowDxfId="20" dataDxfId="19" totalsRowDxfId="18" headerRowBorderDxfId="16" tableBorderDxfId="17">
  <autoFilter ref="B2:I162" xr:uid="{714EC00C-E1B2-4E48-BF30-82E59012B17C}"/>
  <sortState xmlns:xlrd2="http://schemas.microsoft.com/office/spreadsheetml/2017/richdata2" ref="B3:I162">
    <sortCondition ref="B2:B162"/>
  </sortState>
  <tableColumns count="8">
    <tableColumn id="1" xr3:uid="{FE3626C2-F037-43C7-8600-8485B88263F0}" name="N° ID" dataDxfId="15" dataCellStyle="Normal"/>
    <tableColumn id="3" xr3:uid="{74DC5702-94AF-48E2-B990-2206B32C11BD}" name="Nome:" dataDxfId="14"/>
    <tableColumn id="5" xr3:uid="{CC1F298D-495F-46D1-B70A-E5B76C13BF4B}" name="Diretoria:" dataDxfId="13"/>
    <tableColumn id="6" xr3:uid="{30A47256-B2BB-452F-B7DC-A941812463B3}" name="Somatório" dataDxfId="12">
      <calculatedColumnFormula>IF(B3="","",SUMIF('[1]Pesagem ReciclaCEDAE'!$A$5:$A$2000,'[1]Cadastro &amp; Somatório'!A3,'[1]Pesagem ReciclaCEDAE'!$D$5:$D$2000))</calculatedColumnFormula>
    </tableColumn>
    <tableColumn id="2" xr3:uid="{5659A8B8-1AF9-45AF-A715-519F0F207985}" name="Broche" dataDxfId="10" totalsRowDxfId="11"/>
    <tableColumn id="4" xr3:uid="{46DCAF10-FA85-425F-9C2F-A2E30F58D9E0}" name="Mochila" dataDxfId="8" totalsRowDxfId="9"/>
    <tableColumn id="8" xr3:uid="{0D430B25-26BB-4010-A5AB-FD6DB4452FB5}" name="Quantidade retirada (sacos de composto orgânico)" dataDxfId="6" totalsRowDxfId="7" dataCellStyle="Normal 2"/>
    <tableColumn id="7" xr3:uid="{ABD82245-4ED2-4FE1-949D-2DD612007D24}" name="Quantidade de Pacotes disponíveis de composto orgânico_x000a_(1 pacote / 10 kg)" dataDxfId="4" totalsRowDxfId="5">
      <calculatedColumnFormula>IF(Somatorio[[#This Row],[Somatório]]/10&gt;10,10,IF(Somatorio[[#This Row],[Somatório]]/10&gt;1, FLOOR(Somatorio[[#This Row],[Somatório]]/10,1), "0"))</calculatedColumnFormula>
    </tableColumn>
  </tableColumns>
  <tableStyleInfo name="Respostas ao formulá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F1713-0249-4332-BCF5-DB00DE816E2D}" name="Tabela2_1" displayName="Tabela2_1" ref="A1:H161" tableType="queryTable" totalsRowShown="0">
  <autoFilter ref="A1:H161" xr:uid="{75CF1713-0249-4332-BCF5-DB00DE816E2D}"/>
  <tableColumns count="8">
    <tableColumn id="1" xr3:uid="{99382228-30FB-4B0B-8EF2-B4953F395614}" uniqueName="1" name="N° ID" queryTableFieldId="1"/>
    <tableColumn id="2" xr3:uid="{7102DD80-AFE1-48CD-B5E0-ACA65C923A12}" uniqueName="2" name="Nome:" queryTableFieldId="2" dataDxfId="3"/>
    <tableColumn id="3" xr3:uid="{AB021A5A-D97D-4866-B8BC-EF2270B1186D}" uniqueName="3" name="Diretoria:" queryTableFieldId="3" dataDxfId="2"/>
    <tableColumn id="4" xr3:uid="{72C0AB8E-DC01-49F9-89EC-B92A12977C1E}" uniqueName="4" name="Somatório" queryTableFieldId="4"/>
    <tableColumn id="5" xr3:uid="{5C17DDBF-ADC5-454D-88B9-C2BDB9B34C41}" uniqueName="5" name="Broche" queryTableFieldId="5" dataDxfId="1"/>
    <tableColumn id="6" xr3:uid="{3DD6E3EA-46B5-47F4-A1FE-937BE2132929}" uniqueName="6" name="Mochila" queryTableFieldId="6" dataDxfId="0"/>
    <tableColumn id="7" xr3:uid="{B7E072A6-C66C-4B0F-9162-9713C9E331A5}" uniqueName="7" name="Quantidade retirada (sacos de composto orgânico)" queryTableFieldId="7"/>
    <tableColumn id="8" xr3:uid="{83655B32-0FD4-4EB0-A877-EAC1C5707D5C}" uniqueName="8" name="Quantidade de Pacotes disponíveis de composto orgânico_x000a_(1 pacote / 10 kg)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99A5-7564-4488-8CEA-8D42B1889B43}">
  <dimension ref="A1:K174"/>
  <sheetViews>
    <sheetView topLeftCell="B1" workbookViewId="0">
      <selection activeCell="K8" sqref="K8"/>
    </sheetView>
  </sheetViews>
  <sheetFormatPr defaultColWidth="12.5703125" defaultRowHeight="13.5" x14ac:dyDescent="0.25"/>
  <cols>
    <col min="1" max="1" width="10.5703125" style="1" hidden="1" customWidth="1"/>
    <col min="2" max="2" width="9.28515625" style="1" bestFit="1" customWidth="1"/>
    <col min="3" max="3" width="39.42578125" style="1" customWidth="1"/>
    <col min="4" max="4" width="14.28515625" style="1" bestFit="1" customWidth="1"/>
    <col min="5" max="5" width="15.140625" style="1" bestFit="1" customWidth="1"/>
    <col min="6" max="6" width="18.85546875" style="45" customWidth="1"/>
    <col min="7" max="8" width="18.85546875" style="46" customWidth="1"/>
    <col min="9" max="9" width="18.85546875" style="47" customWidth="1"/>
    <col min="10" max="16384" width="12.5703125" style="1"/>
  </cols>
  <sheetData>
    <row r="1" spans="1:11" ht="27.75" customHeight="1" thickBot="1" x14ac:dyDescent="0.3">
      <c r="B1" s="65" t="s">
        <v>0</v>
      </c>
      <c r="C1" s="66"/>
      <c r="D1" s="66"/>
      <c r="E1" s="66"/>
      <c r="F1" s="66"/>
      <c r="G1" s="66"/>
      <c r="H1" s="66"/>
      <c r="I1" s="67"/>
    </row>
    <row r="2" spans="1:11" ht="63.75" thickBot="1" x14ac:dyDescent="0.3">
      <c r="A2" s="2" t="s">
        <v>1</v>
      </c>
      <c r="B2" s="3" t="s">
        <v>2</v>
      </c>
      <c r="C2" s="4" t="s">
        <v>3</v>
      </c>
      <c r="D2" s="4" t="s">
        <v>4</v>
      </c>
      <c r="E2" s="5" t="s">
        <v>1</v>
      </c>
      <c r="F2" s="5" t="s">
        <v>5</v>
      </c>
      <c r="G2" s="6" t="s">
        <v>6</v>
      </c>
      <c r="H2" s="6" t="s">
        <v>7</v>
      </c>
      <c r="I2" s="7" t="s">
        <v>8</v>
      </c>
    </row>
    <row r="3" spans="1:11" ht="21" customHeight="1" x14ac:dyDescent="0.25">
      <c r="A3" s="8">
        <f>Somatorio[[#This Row],[Somatório]]</f>
        <v>0</v>
      </c>
      <c r="B3" s="9">
        <v>1</v>
      </c>
      <c r="C3" s="10" t="s">
        <v>9</v>
      </c>
      <c r="D3" s="10" t="s">
        <v>10</v>
      </c>
      <c r="E3" s="11">
        <f>IF(B3="","",SUMIF('[1]Pesagem ReciclaCEDAE'!$A$5:$A$2000,'[1]Cadastro &amp; Somatório'!A3,'[1]Pesagem ReciclaCEDAE'!$D$5:$D$2000))</f>
        <v>0</v>
      </c>
      <c r="F3" s="12"/>
      <c r="G3" s="12"/>
      <c r="H3" s="12"/>
      <c r="I3" s="13" t="str">
        <f>IF(Somatorio[[#This Row],[Somatório]]/10&gt;10,10,IF(Somatorio[[#This Row],[Somatório]]/10&gt;1, FLOOR(Somatorio[[#This Row],[Somatório]]/10,1), "0"))</f>
        <v>0</v>
      </c>
    </row>
    <row r="4" spans="1:11" ht="21" customHeight="1" x14ac:dyDescent="0.25">
      <c r="A4" s="14">
        <f>Somatorio[[#This Row],[Somatório]]</f>
        <v>81.7</v>
      </c>
      <c r="B4" s="15">
        <v>2</v>
      </c>
      <c r="C4" s="16" t="s">
        <v>11</v>
      </c>
      <c r="D4" s="16" t="s">
        <v>10</v>
      </c>
      <c r="E4" s="17">
        <f>IF(B4="","",SUMIF('[1]Pesagem ReciclaCEDAE'!$A$5:$A$2000,'[1]Cadastro &amp; Somatório'!A4,'[1]Pesagem ReciclaCEDAE'!$D$5:$D$2000))</f>
        <v>81.7</v>
      </c>
      <c r="F4" s="18" t="s">
        <v>12</v>
      </c>
      <c r="G4" s="19"/>
      <c r="H4" s="20"/>
      <c r="I4" s="21">
        <f>IF(Somatorio[[#This Row],[Somatório]]/10&gt;10,10,IF(Somatorio[[#This Row],[Somatório]]/10&gt;1, FLOOR(Somatorio[[#This Row],[Somatório]]/10,1), "0"))</f>
        <v>8</v>
      </c>
      <c r="K4" s="22"/>
    </row>
    <row r="5" spans="1:11" ht="21" customHeight="1" x14ac:dyDescent="0.25">
      <c r="A5" s="8">
        <f>Somatorio[[#This Row],[Somatório]]</f>
        <v>0</v>
      </c>
      <c r="B5" s="15">
        <v>3</v>
      </c>
      <c r="C5" s="16" t="s">
        <v>13</v>
      </c>
      <c r="D5" s="16" t="s">
        <v>14</v>
      </c>
      <c r="E5" s="17">
        <f>IF(B5="","",SUMIF('[1]Pesagem ReciclaCEDAE'!$A$5:$A$2000,'[1]Cadastro &amp; Somatório'!A5,'[1]Pesagem ReciclaCEDAE'!$D$5:$D$2000))</f>
        <v>0</v>
      </c>
      <c r="F5" s="19"/>
      <c r="G5" s="19"/>
      <c r="H5" s="20"/>
      <c r="I5" s="23" t="str">
        <f>IF(Somatorio[[#This Row],[Somatório]]/10&gt;10,10,IF(Somatorio[[#This Row],[Somatório]]/10&gt;1, FLOOR(Somatorio[[#This Row],[Somatório]]/10,1), "0"))</f>
        <v>0</v>
      </c>
    </row>
    <row r="6" spans="1:11" ht="21" customHeight="1" x14ac:dyDescent="0.25">
      <c r="A6" s="14">
        <f>Somatorio[[#This Row],[Somatório]]</f>
        <v>46.1</v>
      </c>
      <c r="B6" s="15">
        <v>4</v>
      </c>
      <c r="C6" s="16" t="s">
        <v>15</v>
      </c>
      <c r="D6" s="16" t="s">
        <v>16</v>
      </c>
      <c r="E6" s="17">
        <f>IF(B6="","",SUMIF('[1]Pesagem ReciclaCEDAE'!$A$5:$A$2000,'[1]Cadastro &amp; Somatório'!A6,'[1]Pesagem ReciclaCEDAE'!$D$5:$D$2000))</f>
        <v>46.1</v>
      </c>
      <c r="F6" s="24"/>
      <c r="G6" s="19"/>
      <c r="H6" s="20"/>
      <c r="I6" s="21">
        <f>IF(Somatorio[[#This Row],[Somatório]]/10&gt;10,10,IF(Somatorio[[#This Row],[Somatório]]/10&gt;1, FLOOR(Somatorio[[#This Row],[Somatório]]/10,1), "0"))</f>
        <v>4</v>
      </c>
    </row>
    <row r="7" spans="1:11" ht="21" customHeight="1" x14ac:dyDescent="0.25">
      <c r="A7" s="8">
        <f>Somatorio[[#This Row],[Somatório]]</f>
        <v>58.96</v>
      </c>
      <c r="B7" s="15">
        <v>5</v>
      </c>
      <c r="C7" s="16" t="s">
        <v>17</v>
      </c>
      <c r="D7" s="16" t="s">
        <v>16</v>
      </c>
      <c r="E7" s="17">
        <f>IF(B7="","",SUMIF('[1]Pesagem ReciclaCEDAE'!$A$5:$A$2000,'[1]Cadastro &amp; Somatório'!A7,'[1]Pesagem ReciclaCEDAE'!$D$5:$D$2000))</f>
        <v>58.96</v>
      </c>
      <c r="F7" s="18" t="s">
        <v>18</v>
      </c>
      <c r="G7" s="19"/>
      <c r="H7" s="20"/>
      <c r="I7" s="21">
        <f>IF(Somatorio[[#This Row],[Somatório]]/10&gt;10,10,IF(Somatorio[[#This Row],[Somatório]]/10&gt;1, FLOOR(Somatorio[[#This Row],[Somatório]]/10,1), "0"))</f>
        <v>5</v>
      </c>
    </row>
    <row r="8" spans="1:11" ht="21" customHeight="1" x14ac:dyDescent="0.25">
      <c r="A8" s="14">
        <f>Somatorio[[#This Row],[Somatório]]</f>
        <v>0</v>
      </c>
      <c r="B8" s="15">
        <v>6</v>
      </c>
      <c r="C8" s="16" t="s">
        <v>19</v>
      </c>
      <c r="D8" s="16" t="s">
        <v>10</v>
      </c>
      <c r="E8" s="17">
        <f>IF(B8="","",SUMIF('[1]Pesagem ReciclaCEDAE'!$A$5:$A$2000,'[1]Cadastro &amp; Somatório'!A8,'[1]Pesagem ReciclaCEDAE'!$D$5:$D$2000))</f>
        <v>0</v>
      </c>
      <c r="F8" s="19"/>
      <c r="G8" s="19"/>
      <c r="H8" s="20"/>
      <c r="I8" s="23" t="str">
        <f>IF(Somatorio[[#This Row],[Somatório]]/10&gt;10,10,IF(Somatorio[[#This Row],[Somatório]]/10&gt;1, FLOOR(Somatorio[[#This Row],[Somatório]]/10,1), "0"))</f>
        <v>0</v>
      </c>
    </row>
    <row r="9" spans="1:11" ht="21" customHeight="1" x14ac:dyDescent="0.25">
      <c r="A9" s="8">
        <f>Somatorio[[#This Row],[Somatório]]</f>
        <v>0</v>
      </c>
      <c r="B9" s="15">
        <v>7</v>
      </c>
      <c r="C9" s="16" t="s">
        <v>20</v>
      </c>
      <c r="D9" s="16" t="s">
        <v>16</v>
      </c>
      <c r="E9" s="17">
        <f>IF(B9="","",SUMIF('[1]Pesagem ReciclaCEDAE'!$A$5:$A$2000,'[1]Cadastro &amp; Somatório'!A9,'[1]Pesagem ReciclaCEDAE'!$D$5:$D$2000))</f>
        <v>0</v>
      </c>
      <c r="F9" s="19"/>
      <c r="G9" s="19"/>
      <c r="H9" s="20"/>
      <c r="I9" s="23" t="str">
        <f>IF(Somatorio[[#This Row],[Somatório]]/10&gt;10,10,IF(Somatorio[[#This Row],[Somatório]]/10&gt;1, FLOOR(Somatorio[[#This Row],[Somatório]]/10,1), "0"))</f>
        <v>0</v>
      </c>
    </row>
    <row r="10" spans="1:11" ht="21" customHeight="1" x14ac:dyDescent="0.25">
      <c r="A10" s="14">
        <f>Somatorio[[#This Row],[Somatório]]</f>
        <v>0</v>
      </c>
      <c r="B10" s="15">
        <v>8</v>
      </c>
      <c r="C10" s="16" t="s">
        <v>21</v>
      </c>
      <c r="D10" s="16" t="s">
        <v>22</v>
      </c>
      <c r="E10" s="17">
        <f>IF(B10="","",SUMIF('[1]Pesagem ReciclaCEDAE'!$A$5:$A$2000,'[1]Cadastro &amp; Somatório'!A10,'[1]Pesagem ReciclaCEDAE'!$D$5:$D$2000))</f>
        <v>0</v>
      </c>
      <c r="F10" s="19"/>
      <c r="G10" s="19"/>
      <c r="H10" s="20"/>
      <c r="I10" s="23" t="str">
        <f>IF(Somatorio[[#This Row],[Somatório]]/10&gt;10,10,IF(Somatorio[[#This Row],[Somatório]]/10&gt;1, FLOOR(Somatorio[[#This Row],[Somatório]]/10,1), "0"))</f>
        <v>0</v>
      </c>
    </row>
    <row r="11" spans="1:11" ht="21" customHeight="1" x14ac:dyDescent="0.25">
      <c r="A11" s="8">
        <f>Somatorio[[#This Row],[Somatório]]</f>
        <v>135.6</v>
      </c>
      <c r="B11" s="15">
        <v>9</v>
      </c>
      <c r="C11" s="16" t="s">
        <v>23</v>
      </c>
      <c r="D11" s="16" t="s">
        <v>14</v>
      </c>
      <c r="E11" s="25">
        <f>IF(B11="","",SUMIF('[1]Pesagem ReciclaCEDAE'!$A$5:$A$2000,'[1]Cadastro &amp; Somatório'!A11,'[1]Pesagem ReciclaCEDAE'!$D$5:$D$2000))</f>
        <v>135.6</v>
      </c>
      <c r="F11" s="18" t="s">
        <v>18</v>
      </c>
      <c r="G11" s="26" t="s">
        <v>12</v>
      </c>
      <c r="H11" s="20">
        <v>10</v>
      </c>
      <c r="I11" s="21">
        <f>IF(Somatorio[[#This Row],[Somatório]]/10&gt;10,10,IF(Somatorio[[#This Row],[Somatório]]/10&gt;1, FLOOR(Somatorio[[#This Row],[Somatório]]/10,1), "0"))</f>
        <v>10</v>
      </c>
    </row>
    <row r="12" spans="1:11" ht="21" customHeight="1" x14ac:dyDescent="0.25">
      <c r="A12" s="14">
        <f>Somatorio[[#This Row],[Somatório]]</f>
        <v>0</v>
      </c>
      <c r="B12" s="15">
        <v>10</v>
      </c>
      <c r="C12" s="16" t="s">
        <v>24</v>
      </c>
      <c r="D12" s="16" t="s">
        <v>10</v>
      </c>
      <c r="E12" s="17">
        <f>IF(B12="","",SUMIF('[1]Pesagem ReciclaCEDAE'!$A$5:$A$2000,'[1]Cadastro &amp; Somatório'!A12,'[1]Pesagem ReciclaCEDAE'!$D$5:$D$2000))</f>
        <v>0</v>
      </c>
      <c r="F12" s="19"/>
      <c r="G12" s="19"/>
      <c r="H12" s="20"/>
      <c r="I12" s="23" t="str">
        <f>IF(Somatorio[[#This Row],[Somatório]]/10&gt;10,10,IF(Somatorio[[#This Row],[Somatório]]/10&gt;1, FLOOR(Somatorio[[#This Row],[Somatório]]/10,1), "0"))</f>
        <v>0</v>
      </c>
    </row>
    <row r="13" spans="1:11" ht="21" customHeight="1" x14ac:dyDescent="0.25">
      <c r="A13" s="8">
        <f>Somatorio[[#This Row],[Somatório]]</f>
        <v>0</v>
      </c>
      <c r="B13" s="15">
        <v>11</v>
      </c>
      <c r="C13" s="16" t="s">
        <v>25</v>
      </c>
      <c r="D13" s="16" t="s">
        <v>10</v>
      </c>
      <c r="E13" s="17">
        <f>IF(B13="","",SUMIF('[1]Pesagem ReciclaCEDAE'!$A$5:$A$2000,'[1]Cadastro &amp; Somatório'!A13,'[1]Pesagem ReciclaCEDAE'!$D$5:$D$2000))</f>
        <v>0</v>
      </c>
      <c r="F13" s="19"/>
      <c r="G13" s="19"/>
      <c r="H13" s="20"/>
      <c r="I13" s="23" t="str">
        <f>IF(Somatorio[[#This Row],[Somatório]]/10&gt;10,10,IF(Somatorio[[#This Row],[Somatório]]/10&gt;1, FLOOR(Somatorio[[#This Row],[Somatório]]/10,1), "0"))</f>
        <v>0</v>
      </c>
    </row>
    <row r="14" spans="1:11" ht="21" customHeight="1" x14ac:dyDescent="0.25">
      <c r="A14" s="14">
        <f>Somatorio[[#This Row],[Somatório]]</f>
        <v>138.59999999999997</v>
      </c>
      <c r="B14" s="15">
        <v>12</v>
      </c>
      <c r="C14" s="16" t="s">
        <v>26</v>
      </c>
      <c r="D14" s="16" t="s">
        <v>16</v>
      </c>
      <c r="E14" s="17">
        <f>IF(B14="","",SUMIF('[1]Pesagem ReciclaCEDAE'!$A$5:$A$2000,'[1]Cadastro &amp; Somatório'!A14,'[1]Pesagem ReciclaCEDAE'!$D$5:$D$2000))</f>
        <v>138.59999999999997</v>
      </c>
      <c r="F14" s="18" t="s">
        <v>18</v>
      </c>
      <c r="G14" s="19"/>
      <c r="H14" s="20"/>
      <c r="I14" s="21">
        <f>IF(Somatorio[[#This Row],[Somatório]]/10&gt;10,10,IF(Somatorio[[#This Row],[Somatório]]/10&gt;1, FLOOR(Somatorio[[#This Row],[Somatório]]/10,1), "0"))</f>
        <v>10</v>
      </c>
    </row>
    <row r="15" spans="1:11" ht="21" customHeight="1" x14ac:dyDescent="0.25">
      <c r="A15" s="8">
        <f>Somatorio[[#This Row],[Somatório]]</f>
        <v>0</v>
      </c>
      <c r="B15" s="15">
        <v>13</v>
      </c>
      <c r="C15" s="16" t="s">
        <v>27</v>
      </c>
      <c r="D15" s="16" t="s">
        <v>14</v>
      </c>
      <c r="E15" s="17">
        <f>IF(B15="","",SUMIF('[1]Pesagem ReciclaCEDAE'!$A$5:$A$2000,'[1]Cadastro &amp; Somatório'!A15,'[1]Pesagem ReciclaCEDAE'!$D$5:$D$2000))</f>
        <v>0</v>
      </c>
      <c r="F15" s="19"/>
      <c r="G15" s="19"/>
      <c r="H15" s="20"/>
      <c r="I15" s="23" t="str">
        <f>IF(Somatorio[[#This Row],[Somatório]]/10&gt;10,10,IF(Somatorio[[#This Row],[Somatório]]/10&gt;1, FLOOR(Somatorio[[#This Row],[Somatório]]/10,1), "0"))</f>
        <v>0</v>
      </c>
    </row>
    <row r="16" spans="1:11" ht="21" customHeight="1" x14ac:dyDescent="0.25">
      <c r="A16" s="14">
        <f>Somatorio[[#This Row],[Somatório]]</f>
        <v>0</v>
      </c>
      <c r="B16" s="15">
        <v>14</v>
      </c>
      <c r="C16" s="16" t="s">
        <v>28</v>
      </c>
      <c r="D16" s="16" t="s">
        <v>14</v>
      </c>
      <c r="E16" s="17">
        <f>IF(B16="","",SUMIF('[1]Pesagem ReciclaCEDAE'!$A$5:$A$2000,'[1]Cadastro &amp; Somatório'!A16,'[1]Pesagem ReciclaCEDAE'!$D$5:$D$2000))</f>
        <v>0</v>
      </c>
      <c r="F16" s="19"/>
      <c r="G16" s="19"/>
      <c r="H16" s="20"/>
      <c r="I16" s="23" t="str">
        <f>IF(Somatorio[[#This Row],[Somatório]]/10&gt;10,10,IF(Somatorio[[#This Row],[Somatório]]/10&gt;1, FLOOR(Somatorio[[#This Row],[Somatório]]/10,1), "0"))</f>
        <v>0</v>
      </c>
    </row>
    <row r="17" spans="1:9" ht="21" customHeight="1" x14ac:dyDescent="0.25">
      <c r="A17" s="8">
        <f>Somatorio[[#This Row],[Somatório]]</f>
        <v>0</v>
      </c>
      <c r="B17" s="15">
        <v>15</v>
      </c>
      <c r="C17" s="16" t="s">
        <v>29</v>
      </c>
      <c r="D17" s="16" t="s">
        <v>10</v>
      </c>
      <c r="E17" s="17">
        <f>IF(B17="","",SUMIF('[1]Pesagem ReciclaCEDAE'!$A$5:$A$2000,'[1]Cadastro &amp; Somatório'!A17,'[1]Pesagem ReciclaCEDAE'!$D$5:$D$2000))</f>
        <v>0</v>
      </c>
      <c r="F17" s="19"/>
      <c r="G17" s="19"/>
      <c r="H17" s="20"/>
      <c r="I17" s="23" t="str">
        <f>IF(Somatorio[[#This Row],[Somatório]]/10&gt;10,10,IF(Somatorio[[#This Row],[Somatório]]/10&gt;1, FLOOR(Somatorio[[#This Row],[Somatório]]/10,1), "0"))</f>
        <v>0</v>
      </c>
    </row>
    <row r="18" spans="1:9" ht="21" customHeight="1" x14ac:dyDescent="0.25">
      <c r="A18" s="14">
        <f>Somatorio[[#This Row],[Somatório]]</f>
        <v>0</v>
      </c>
      <c r="B18" s="15">
        <v>16</v>
      </c>
      <c r="C18" s="16" t="s">
        <v>30</v>
      </c>
      <c r="D18" s="16" t="s">
        <v>14</v>
      </c>
      <c r="E18" s="17">
        <f>IF(B18="","",SUMIF('[1]Pesagem ReciclaCEDAE'!$A$5:$A$2000,'[1]Cadastro &amp; Somatório'!A18,'[1]Pesagem ReciclaCEDAE'!$D$5:$D$2000))</f>
        <v>0</v>
      </c>
      <c r="F18" s="19"/>
      <c r="G18" s="19"/>
      <c r="H18" s="20"/>
      <c r="I18" s="23" t="str">
        <f>IF(Somatorio[[#This Row],[Somatório]]/10&gt;10,10,IF(Somatorio[[#This Row],[Somatório]]/10&gt;1, FLOOR(Somatorio[[#This Row],[Somatório]]/10,1), "0"))</f>
        <v>0</v>
      </c>
    </row>
    <row r="19" spans="1:9" ht="21" customHeight="1" x14ac:dyDescent="0.25">
      <c r="A19" s="8">
        <f>Somatorio[[#This Row],[Somatório]]</f>
        <v>105.99999999999999</v>
      </c>
      <c r="B19" s="15">
        <v>17</v>
      </c>
      <c r="C19" s="16" t="s">
        <v>31</v>
      </c>
      <c r="D19" s="16" t="s">
        <v>10</v>
      </c>
      <c r="E19" s="17">
        <f>IF(B19="","",SUMIF('[1]Pesagem ReciclaCEDAE'!$A$5:$A$2000,'[1]Cadastro &amp; Somatório'!A19,'[1]Pesagem ReciclaCEDAE'!$D$5:$D$2000))</f>
        <v>105.99999999999999</v>
      </c>
      <c r="F19" s="18" t="s">
        <v>18</v>
      </c>
      <c r="G19" s="19"/>
      <c r="H19" s="20">
        <v>2</v>
      </c>
      <c r="I19" s="21">
        <f>IF(Somatorio[[#This Row],[Somatório]]/10&gt;10,10,IF(Somatorio[[#This Row],[Somatório]]/10&gt;1, FLOOR(Somatorio[[#This Row],[Somatório]]/10,1), "0"))</f>
        <v>10</v>
      </c>
    </row>
    <row r="20" spans="1:9" ht="21" customHeight="1" x14ac:dyDescent="0.25">
      <c r="A20" s="14">
        <f>Somatorio[[#This Row],[Somatório]]</f>
        <v>0</v>
      </c>
      <c r="B20" s="15">
        <v>18</v>
      </c>
      <c r="C20" s="16" t="s">
        <v>32</v>
      </c>
      <c r="D20" s="16" t="s">
        <v>33</v>
      </c>
      <c r="E20" s="17">
        <f>IF(B20="","",SUMIF('[1]Pesagem ReciclaCEDAE'!$A$5:$A$2000,'[1]Cadastro &amp; Somatório'!A20,'[1]Pesagem ReciclaCEDAE'!$D$5:$D$2000))</f>
        <v>0</v>
      </c>
      <c r="F20" s="19"/>
      <c r="G20" s="19"/>
      <c r="H20" s="20"/>
      <c r="I20" s="23" t="str">
        <f>IF(Somatorio[[#This Row],[Somatório]]/10&gt;10,10,IF(Somatorio[[#This Row],[Somatório]]/10&gt;1, FLOOR(Somatorio[[#This Row],[Somatório]]/10,1), "0"))</f>
        <v>0</v>
      </c>
    </row>
    <row r="21" spans="1:9" ht="21" customHeight="1" x14ac:dyDescent="0.25">
      <c r="A21" s="8">
        <f>Somatorio[[#This Row],[Somatório]]</f>
        <v>0</v>
      </c>
      <c r="B21" s="15">
        <v>19</v>
      </c>
      <c r="C21" s="16" t="s">
        <v>34</v>
      </c>
      <c r="D21" s="16" t="s">
        <v>10</v>
      </c>
      <c r="E21" s="17">
        <f>IF(B21="","",SUMIF('[1]Pesagem ReciclaCEDAE'!$A$5:$A$2000,'[1]Cadastro &amp; Somatório'!A21,'[1]Pesagem ReciclaCEDAE'!$D$5:$D$2000))</f>
        <v>0</v>
      </c>
      <c r="F21" s="19"/>
      <c r="G21" s="19"/>
      <c r="H21" s="20"/>
      <c r="I21" s="23" t="str">
        <f>IF(Somatorio[[#This Row],[Somatório]]/10&gt;10,10,IF(Somatorio[[#This Row],[Somatório]]/10&gt;1, FLOOR(Somatorio[[#This Row],[Somatório]]/10,1), "0"))</f>
        <v>0</v>
      </c>
    </row>
    <row r="22" spans="1:9" ht="21" customHeight="1" x14ac:dyDescent="0.25">
      <c r="A22" s="14">
        <f>Somatorio[[#This Row],[Somatório]]</f>
        <v>0</v>
      </c>
      <c r="B22" s="15">
        <v>20</v>
      </c>
      <c r="C22" s="16" t="s">
        <v>35</v>
      </c>
      <c r="D22" s="16" t="s">
        <v>22</v>
      </c>
      <c r="E22" s="17">
        <f>IF(B22="","",SUMIF('[1]Pesagem ReciclaCEDAE'!$A$5:$A$2000,'[1]Cadastro &amp; Somatório'!A22,'[1]Pesagem ReciclaCEDAE'!$D$5:$D$2000))</f>
        <v>0</v>
      </c>
      <c r="F22" s="19"/>
      <c r="G22" s="19"/>
      <c r="H22" s="20"/>
      <c r="I22" s="23" t="str">
        <f>IF(Somatorio[[#This Row],[Somatório]]/10&gt;10,10,IF(Somatorio[[#This Row],[Somatório]]/10&gt;1, FLOOR(Somatorio[[#This Row],[Somatório]]/10,1), "0"))</f>
        <v>0</v>
      </c>
    </row>
    <row r="23" spans="1:9" ht="21" customHeight="1" x14ac:dyDescent="0.25">
      <c r="A23" s="8">
        <f>Somatorio[[#This Row],[Somatório]]</f>
        <v>34.5</v>
      </c>
      <c r="B23" s="15">
        <v>21</v>
      </c>
      <c r="C23" s="16" t="s">
        <v>36</v>
      </c>
      <c r="D23" s="16" t="s">
        <v>10</v>
      </c>
      <c r="E23" s="17">
        <f>IF(B23="","",SUMIF('[1]Pesagem ReciclaCEDAE'!$A$5:$A$2000,'[1]Cadastro &amp; Somatório'!A23,'[1]Pesagem ReciclaCEDAE'!$D$5:$D$2000))</f>
        <v>34.5</v>
      </c>
      <c r="F23" s="24"/>
      <c r="G23" s="19"/>
      <c r="H23" s="20"/>
      <c r="I23" s="21">
        <f>IF(Somatorio[[#This Row],[Somatório]]/10&gt;10,10,IF(Somatorio[[#This Row],[Somatório]]/10&gt;1, FLOOR(Somatorio[[#This Row],[Somatório]]/10,1), "0"))</f>
        <v>3</v>
      </c>
    </row>
    <row r="24" spans="1:9" ht="21" customHeight="1" x14ac:dyDescent="0.25">
      <c r="A24" s="14">
        <f>Somatorio[[#This Row],[Somatório]]</f>
        <v>0</v>
      </c>
      <c r="B24" s="15">
        <v>22</v>
      </c>
      <c r="C24" s="16" t="s">
        <v>37</v>
      </c>
      <c r="D24" s="16" t="s">
        <v>33</v>
      </c>
      <c r="E24" s="17">
        <f>IF(B24="","",SUMIF('[1]Pesagem ReciclaCEDAE'!$A$5:$A$2000,'[1]Cadastro &amp; Somatório'!A24,'[1]Pesagem ReciclaCEDAE'!$D$5:$D$2000))</f>
        <v>0</v>
      </c>
      <c r="F24" s="19"/>
      <c r="G24" s="19"/>
      <c r="H24" s="20"/>
      <c r="I24" s="23" t="str">
        <f>IF(Somatorio[[#This Row],[Somatório]]/10&gt;10,10,IF(Somatorio[[#This Row],[Somatório]]/10&gt;1, FLOOR(Somatorio[[#This Row],[Somatório]]/10,1), "0"))</f>
        <v>0</v>
      </c>
    </row>
    <row r="25" spans="1:9" ht="21" customHeight="1" x14ac:dyDescent="0.25">
      <c r="A25" s="8">
        <f>Somatorio[[#This Row],[Somatório]]</f>
        <v>116.28000000000002</v>
      </c>
      <c r="B25" s="15">
        <v>23</v>
      </c>
      <c r="C25" s="16" t="s">
        <v>38</v>
      </c>
      <c r="D25" s="16" t="s">
        <v>10</v>
      </c>
      <c r="E25" s="17">
        <f>IF(B25="","",SUMIF('[1]Pesagem ReciclaCEDAE'!$A$5:$A$2000,'[1]Cadastro &amp; Somatório'!A25,'[1]Pesagem ReciclaCEDAE'!$D$5:$D$2000))</f>
        <v>116.28000000000002</v>
      </c>
      <c r="F25" s="18" t="s">
        <v>39</v>
      </c>
      <c r="G25" s="26" t="s">
        <v>18</v>
      </c>
      <c r="H25" s="20"/>
      <c r="I25" s="21">
        <f>IF(Somatorio[[#This Row],[Somatório]]/10&gt;10,10,IF(Somatorio[[#This Row],[Somatório]]/10&gt;1, FLOOR(Somatorio[[#This Row],[Somatório]]/10,1), "0"))</f>
        <v>10</v>
      </c>
    </row>
    <row r="26" spans="1:9" ht="21" customHeight="1" x14ac:dyDescent="0.25">
      <c r="A26" s="14">
        <f>Somatorio[[#This Row],[Somatório]]</f>
        <v>0</v>
      </c>
      <c r="B26" s="15">
        <v>24</v>
      </c>
      <c r="C26" s="16" t="s">
        <v>40</v>
      </c>
      <c r="D26" s="16" t="s">
        <v>14</v>
      </c>
      <c r="E26" s="17">
        <f>IF(B26="","",SUMIF('[1]Pesagem ReciclaCEDAE'!$A$5:$A$2000,'[1]Cadastro &amp; Somatório'!A26,'[1]Pesagem ReciclaCEDAE'!$D$5:$D$2000))</f>
        <v>0</v>
      </c>
      <c r="F26" s="19"/>
      <c r="G26" s="19"/>
      <c r="H26" s="20"/>
      <c r="I26" s="23" t="str">
        <f>IF(Somatorio[[#This Row],[Somatório]]/10&gt;10,10,IF(Somatorio[[#This Row],[Somatório]]/10&gt;1, FLOOR(Somatorio[[#This Row],[Somatório]]/10,1), "0"))</f>
        <v>0</v>
      </c>
    </row>
    <row r="27" spans="1:9" ht="21" customHeight="1" x14ac:dyDescent="0.25">
      <c r="A27" s="8">
        <f>Somatorio[[#This Row],[Somatório]]</f>
        <v>0</v>
      </c>
      <c r="B27" s="15">
        <v>25</v>
      </c>
      <c r="C27" s="16" t="s">
        <v>41</v>
      </c>
      <c r="D27" s="16" t="s">
        <v>22</v>
      </c>
      <c r="E27" s="17">
        <f>IF(B27="","",SUMIF('[1]Pesagem ReciclaCEDAE'!$A$5:$A$2000,'[1]Cadastro &amp; Somatório'!A27,'[1]Pesagem ReciclaCEDAE'!$D$5:$D$2000))</f>
        <v>0</v>
      </c>
      <c r="F27" s="19"/>
      <c r="G27" s="19"/>
      <c r="H27" s="20"/>
      <c r="I27" s="23" t="str">
        <f>IF(Somatorio[[#This Row],[Somatório]]/10&gt;10,10,IF(Somatorio[[#This Row],[Somatório]]/10&gt;1, FLOOR(Somatorio[[#This Row],[Somatório]]/10,1), "0"))</f>
        <v>0</v>
      </c>
    </row>
    <row r="28" spans="1:9" ht="21" customHeight="1" x14ac:dyDescent="0.25">
      <c r="A28" s="14">
        <f>Somatorio[[#This Row],[Somatório]]</f>
        <v>0</v>
      </c>
      <c r="B28" s="15">
        <v>26</v>
      </c>
      <c r="C28" s="16" t="s">
        <v>42</v>
      </c>
      <c r="D28" s="16" t="s">
        <v>33</v>
      </c>
      <c r="E28" s="17">
        <f>IF(B28="","",SUMIF('[1]Pesagem ReciclaCEDAE'!$A$5:$A$2000,'[1]Cadastro &amp; Somatório'!A28,'[1]Pesagem ReciclaCEDAE'!$D$5:$D$2000))</f>
        <v>0</v>
      </c>
      <c r="F28" s="19"/>
      <c r="G28" s="19"/>
      <c r="H28" s="20"/>
      <c r="I28" s="23" t="str">
        <f>IF(Somatorio[[#This Row],[Somatório]]/10&gt;10,10,IF(Somatorio[[#This Row],[Somatório]]/10&gt;1, FLOOR(Somatorio[[#This Row],[Somatório]]/10,1), "0"))</f>
        <v>0</v>
      </c>
    </row>
    <row r="29" spans="1:9" ht="21" customHeight="1" x14ac:dyDescent="0.25">
      <c r="A29" s="8">
        <f>Somatorio[[#This Row],[Somatório]]</f>
        <v>0</v>
      </c>
      <c r="B29" s="15">
        <v>27</v>
      </c>
      <c r="C29" s="16" t="s">
        <v>43</v>
      </c>
      <c r="D29" s="16" t="s">
        <v>14</v>
      </c>
      <c r="E29" s="17">
        <f>IF(B29="","",SUMIF('[1]Pesagem ReciclaCEDAE'!$A$5:$A$2000,'[1]Cadastro &amp; Somatório'!A29,'[1]Pesagem ReciclaCEDAE'!$D$5:$D$2000))</f>
        <v>0</v>
      </c>
      <c r="F29" s="19"/>
      <c r="G29" s="19"/>
      <c r="H29" s="20"/>
      <c r="I29" s="23" t="str">
        <f>IF(Somatorio[[#This Row],[Somatório]]/10&gt;10,10,IF(Somatorio[[#This Row],[Somatório]]/10&gt;1, FLOOR(Somatorio[[#This Row],[Somatório]]/10,1), "0"))</f>
        <v>0</v>
      </c>
    </row>
    <row r="30" spans="1:9" ht="21" customHeight="1" x14ac:dyDescent="0.25">
      <c r="A30" s="14">
        <f>Somatorio[[#This Row],[Somatório]]</f>
        <v>54.500000000000007</v>
      </c>
      <c r="B30" s="15">
        <v>28</v>
      </c>
      <c r="C30" s="16" t="s">
        <v>44</v>
      </c>
      <c r="D30" s="16" t="s">
        <v>16</v>
      </c>
      <c r="E30" s="17">
        <f>IF(B30="","",SUMIF('[1]Pesagem ReciclaCEDAE'!$A$5:$A$2000,'[1]Cadastro &amp; Somatório'!A30,'[1]Pesagem ReciclaCEDAE'!$D$5:$D$2000))</f>
        <v>54.500000000000007</v>
      </c>
      <c r="F30" s="18" t="s">
        <v>18</v>
      </c>
      <c r="G30" s="19"/>
      <c r="H30" s="20"/>
      <c r="I30" s="21">
        <f>IF(Somatorio[[#This Row],[Somatório]]/10&gt;10,10,IF(Somatorio[[#This Row],[Somatório]]/10&gt;1, FLOOR(Somatorio[[#This Row],[Somatório]]/10,1), "0"))</f>
        <v>5</v>
      </c>
    </row>
    <row r="31" spans="1:9" ht="21" customHeight="1" x14ac:dyDescent="0.25">
      <c r="A31" s="8">
        <f>Somatorio[[#This Row],[Somatório]]</f>
        <v>129.29999999999998</v>
      </c>
      <c r="B31" s="15">
        <v>29</v>
      </c>
      <c r="C31" s="16" t="s">
        <v>45</v>
      </c>
      <c r="D31" s="16" t="s">
        <v>14</v>
      </c>
      <c r="E31" s="17">
        <f>IF(B31="","",SUMIF('[1]Pesagem ReciclaCEDAE'!$A$5:$A$2000,'[1]Cadastro &amp; Somatório'!A31,'[1]Pesagem ReciclaCEDAE'!$D$5:$D$2000))</f>
        <v>129.29999999999998</v>
      </c>
      <c r="F31" s="18" t="s">
        <v>12</v>
      </c>
      <c r="G31" s="19"/>
      <c r="H31" s="20"/>
      <c r="I31" s="21">
        <f>IF(Somatorio[[#This Row],[Somatório]]/10&gt;10,10,IF(Somatorio[[#This Row],[Somatório]]/10&gt;1, FLOOR(Somatorio[[#This Row],[Somatório]]/10,1), "0"))</f>
        <v>10</v>
      </c>
    </row>
    <row r="32" spans="1:9" ht="21" customHeight="1" x14ac:dyDescent="0.25">
      <c r="A32" s="14">
        <f>Somatorio[[#This Row],[Somatório]]</f>
        <v>131.9</v>
      </c>
      <c r="B32" s="15">
        <v>30</v>
      </c>
      <c r="C32" s="16" t="s">
        <v>46</v>
      </c>
      <c r="D32" s="16" t="s">
        <v>22</v>
      </c>
      <c r="E32" s="17">
        <f>IF(B32="","",SUMIF('[1]Pesagem ReciclaCEDAE'!$A$5:$A$2000,'[1]Cadastro &amp; Somatório'!A32,'[1]Pesagem ReciclaCEDAE'!$D$5:$D$2000))</f>
        <v>131.9</v>
      </c>
      <c r="F32" s="18" t="s">
        <v>12</v>
      </c>
      <c r="G32" s="19"/>
      <c r="H32" s="20"/>
      <c r="I32" s="21">
        <f>IF(Somatorio[[#This Row],[Somatório]]/10&gt;10,10,IF(Somatorio[[#This Row],[Somatório]]/10&gt;1, FLOOR(Somatorio[[#This Row],[Somatório]]/10,1), "0"))</f>
        <v>10</v>
      </c>
    </row>
    <row r="33" spans="1:9" ht="21" customHeight="1" x14ac:dyDescent="0.25">
      <c r="A33" s="8">
        <f>Somatorio[[#This Row],[Somatório]]</f>
        <v>0</v>
      </c>
      <c r="B33" s="15">
        <v>31</v>
      </c>
      <c r="C33" s="16" t="s">
        <v>47</v>
      </c>
      <c r="D33" s="16" t="s">
        <v>48</v>
      </c>
      <c r="E33" s="17">
        <f>IF(B33="","",SUMIF('[1]Pesagem ReciclaCEDAE'!$A$5:$A$2000,'[1]Cadastro &amp; Somatório'!A33,'[1]Pesagem ReciclaCEDAE'!$D$5:$D$2000))</f>
        <v>0</v>
      </c>
      <c r="F33" s="19"/>
      <c r="G33" s="19"/>
      <c r="H33" s="20"/>
      <c r="I33" s="23" t="str">
        <f>IF(Somatorio[[#This Row],[Somatório]]/10&gt;10,10,IF(Somatorio[[#This Row],[Somatório]]/10&gt;1, FLOOR(Somatorio[[#This Row],[Somatório]]/10,1), "0"))</f>
        <v>0</v>
      </c>
    </row>
    <row r="34" spans="1:9" ht="21" customHeight="1" x14ac:dyDescent="0.25">
      <c r="A34" s="14">
        <f>Somatorio[[#This Row],[Somatório]]</f>
        <v>0</v>
      </c>
      <c r="B34" s="15">
        <v>32</v>
      </c>
      <c r="C34" s="16" t="s">
        <v>49</v>
      </c>
      <c r="D34" s="16" t="s">
        <v>10</v>
      </c>
      <c r="E34" s="17">
        <f>IF(B34="","",SUMIF('[1]Pesagem ReciclaCEDAE'!$A$5:$A$2000,'[1]Cadastro &amp; Somatório'!A34,'[1]Pesagem ReciclaCEDAE'!$D$5:$D$2000))</f>
        <v>0</v>
      </c>
      <c r="F34" s="19"/>
      <c r="G34" s="27"/>
      <c r="H34" s="20"/>
      <c r="I34" s="28" t="str">
        <f>IF(Somatorio[[#This Row],[Somatório]]/10&gt;10,10,IF(Somatorio[[#This Row],[Somatório]]/10&gt;1, FLOOR(Somatorio[[#This Row],[Somatório]]/10,1), "0"))</f>
        <v>0</v>
      </c>
    </row>
    <row r="35" spans="1:9" ht="21" customHeight="1" x14ac:dyDescent="0.25">
      <c r="A35" s="8">
        <f>Somatorio[[#This Row],[Somatório]]</f>
        <v>171.89999999999992</v>
      </c>
      <c r="B35" s="15">
        <v>33</v>
      </c>
      <c r="C35" s="16" t="s">
        <v>50</v>
      </c>
      <c r="D35" s="16" t="s">
        <v>16</v>
      </c>
      <c r="E35" s="17">
        <f>IF(B35="","",SUMIF('[1]Pesagem ReciclaCEDAE'!$A$5:$A$2000,'[1]Cadastro &amp; Somatório'!A35,'[1]Pesagem ReciclaCEDAE'!$D$5:$D$2000))</f>
        <v>171.89999999999992</v>
      </c>
      <c r="F35" s="18" t="s">
        <v>18</v>
      </c>
      <c r="G35" s="26" t="s">
        <v>18</v>
      </c>
      <c r="H35" s="20"/>
      <c r="I35" s="21">
        <f>IF(Somatorio[[#This Row],[Somatório]]/10&gt;10,10,IF(Somatorio[[#This Row],[Somatório]]/10&gt;1, FLOOR(Somatorio[[#This Row],[Somatório]]/10,1), "0"))</f>
        <v>10</v>
      </c>
    </row>
    <row r="36" spans="1:9" ht="21" customHeight="1" x14ac:dyDescent="0.25">
      <c r="A36" s="14">
        <f>Somatorio[[#This Row],[Somatório]]</f>
        <v>0</v>
      </c>
      <c r="B36" s="15">
        <v>34</v>
      </c>
      <c r="C36" s="16" t="s">
        <v>51</v>
      </c>
      <c r="D36" s="16" t="s">
        <v>10</v>
      </c>
      <c r="E36" s="17">
        <f>IF(B36="","",SUMIF('[1]Pesagem ReciclaCEDAE'!$A$5:$A$2000,'[1]Cadastro &amp; Somatório'!A36,'[1]Pesagem ReciclaCEDAE'!$D$5:$D$2000))</f>
        <v>0</v>
      </c>
      <c r="F36" s="19"/>
      <c r="G36" s="27"/>
      <c r="H36" s="20"/>
      <c r="I36" s="28" t="str">
        <f>IF(Somatorio[[#This Row],[Somatório]]/10&gt;10,10,IF(Somatorio[[#This Row],[Somatório]]/10&gt;1, FLOOR(Somatorio[[#This Row],[Somatório]]/10,1), "0"))</f>
        <v>0</v>
      </c>
    </row>
    <row r="37" spans="1:9" ht="21" customHeight="1" x14ac:dyDescent="0.25">
      <c r="A37" s="8">
        <f>Somatorio[[#This Row],[Somatório]]</f>
        <v>193.29999999999995</v>
      </c>
      <c r="B37" s="15">
        <v>35</v>
      </c>
      <c r="C37" s="16" t="s">
        <v>52</v>
      </c>
      <c r="D37" s="16" t="s">
        <v>14</v>
      </c>
      <c r="E37" s="25">
        <f>IF(B37="","",SUMIF('[1]Pesagem ReciclaCEDAE'!$A$5:$A$2000,'[1]Cadastro &amp; Somatório'!A37,'[1]Pesagem ReciclaCEDAE'!$D$5:$D$2000))</f>
        <v>193.29999999999995</v>
      </c>
      <c r="F37" s="18" t="s">
        <v>18</v>
      </c>
      <c r="G37" s="26" t="s">
        <v>18</v>
      </c>
      <c r="H37" s="20">
        <v>2</v>
      </c>
      <c r="I37" s="21">
        <f>IF(Somatorio[[#This Row],[Somatório]]/10&gt;10,10,IF(Somatorio[[#This Row],[Somatório]]/10&gt;1, FLOOR(Somatorio[[#This Row],[Somatório]]/10,1), "0"))</f>
        <v>10</v>
      </c>
    </row>
    <row r="38" spans="1:9" ht="21" customHeight="1" x14ac:dyDescent="0.25">
      <c r="A38" s="14">
        <f>Somatorio[[#This Row],[Somatório]]</f>
        <v>0</v>
      </c>
      <c r="B38" s="15">
        <v>36</v>
      </c>
      <c r="C38" s="16" t="s">
        <v>53</v>
      </c>
      <c r="D38" s="16" t="s">
        <v>16</v>
      </c>
      <c r="E38" s="17">
        <f>IF(B38="","",SUMIF('[1]Pesagem ReciclaCEDAE'!$A$5:$A$2000,'[1]Cadastro &amp; Somatório'!A38,'[1]Pesagem ReciclaCEDAE'!$D$5:$D$2000))</f>
        <v>0</v>
      </c>
      <c r="F38" s="19"/>
      <c r="G38" s="27"/>
      <c r="H38" s="20"/>
      <c r="I38" s="28" t="str">
        <f>IF(Somatorio[[#This Row],[Somatório]]/10&gt;10,10,IF(Somatorio[[#This Row],[Somatório]]/10&gt;1, FLOOR(Somatorio[[#This Row],[Somatório]]/10,1), "0"))</f>
        <v>0</v>
      </c>
    </row>
    <row r="39" spans="1:9" ht="21" customHeight="1" x14ac:dyDescent="0.25">
      <c r="A39" s="8">
        <f>Somatorio[[#This Row],[Somatório]]</f>
        <v>12.8</v>
      </c>
      <c r="B39" s="15">
        <v>37</v>
      </c>
      <c r="C39" s="16" t="s">
        <v>54</v>
      </c>
      <c r="D39" s="16" t="s">
        <v>16</v>
      </c>
      <c r="E39" s="17">
        <f>IF(B39="","",SUMIF('[1]Pesagem ReciclaCEDAE'!$A$5:$A$2000,'[1]Cadastro &amp; Somatório'!A39,'[1]Pesagem ReciclaCEDAE'!$D$5:$D$2000))</f>
        <v>12.8</v>
      </c>
      <c r="F39" s="24"/>
      <c r="G39" s="27"/>
      <c r="H39" s="20"/>
      <c r="I39" s="21">
        <f>IF(Somatorio[[#This Row],[Somatório]]/10&gt;10,10,IF(Somatorio[[#This Row],[Somatório]]/10&gt;1, FLOOR(Somatorio[[#This Row],[Somatório]]/10,1), "0"))</f>
        <v>1</v>
      </c>
    </row>
    <row r="40" spans="1:9" ht="21" customHeight="1" x14ac:dyDescent="0.25">
      <c r="A40" s="14">
        <f>Somatorio[[#This Row],[Somatório]]</f>
        <v>311.11099999999999</v>
      </c>
      <c r="B40" s="15">
        <v>38</v>
      </c>
      <c r="C40" s="16" t="s">
        <v>55</v>
      </c>
      <c r="D40" s="16" t="s">
        <v>10</v>
      </c>
      <c r="E40" s="25">
        <f>IF(B40="","",SUMIF('[1]Pesagem ReciclaCEDAE'!$A$5:$A$2000,'[1]Cadastro &amp; Somatório'!A40,'[1]Pesagem ReciclaCEDAE'!$D$5:$D$2000))</f>
        <v>311.11099999999999</v>
      </c>
      <c r="F40" s="18" t="s">
        <v>18</v>
      </c>
      <c r="G40" s="26" t="s">
        <v>18</v>
      </c>
      <c r="H40" s="20">
        <v>5</v>
      </c>
      <c r="I40" s="21">
        <f>IF(Somatorio[[#This Row],[Somatório]]/10&gt;10,10,IF(Somatorio[[#This Row],[Somatório]]/10&gt;1, FLOOR(Somatorio[[#This Row],[Somatório]]/10,1), "0"))</f>
        <v>10</v>
      </c>
    </row>
    <row r="41" spans="1:9" ht="21" customHeight="1" x14ac:dyDescent="0.25">
      <c r="A41" s="8">
        <f>Somatorio[[#This Row],[Somatório]]</f>
        <v>0</v>
      </c>
      <c r="B41" s="15">
        <v>39</v>
      </c>
      <c r="C41" s="16" t="s">
        <v>56</v>
      </c>
      <c r="D41" s="16" t="s">
        <v>22</v>
      </c>
      <c r="E41" s="17">
        <f>IF(B41="","",SUMIF('[1]Pesagem ReciclaCEDAE'!$A$5:$A$2000,'[1]Cadastro &amp; Somatório'!A41,'[1]Pesagem ReciclaCEDAE'!$D$5:$D$2000))</f>
        <v>0</v>
      </c>
      <c r="F41" s="19"/>
      <c r="G41" s="27"/>
      <c r="H41" s="20"/>
      <c r="I41" s="28" t="str">
        <f>IF(Somatorio[[#This Row],[Somatório]]/10&gt;10,10,IF(Somatorio[[#This Row],[Somatório]]/10&gt;1, FLOOR(Somatorio[[#This Row],[Somatório]]/10,1), "0"))</f>
        <v>0</v>
      </c>
    </row>
    <row r="42" spans="1:9" ht="21" customHeight="1" x14ac:dyDescent="0.25">
      <c r="A42" s="14">
        <f>Somatorio[[#This Row],[Somatório]]</f>
        <v>1.6</v>
      </c>
      <c r="B42" s="15">
        <v>40</v>
      </c>
      <c r="C42" s="16" t="s">
        <v>57</v>
      </c>
      <c r="D42" s="16" t="s">
        <v>10</v>
      </c>
      <c r="E42" s="17">
        <f>IF(B42="","",SUMIF('[1]Pesagem ReciclaCEDAE'!$A$5:$A$2000,'[1]Cadastro &amp; Somatório'!A42,'[1]Pesagem ReciclaCEDAE'!$D$5:$D$2000))</f>
        <v>1.6</v>
      </c>
      <c r="F42" s="24"/>
      <c r="G42" s="27"/>
      <c r="H42" s="20"/>
      <c r="I42" s="21" t="str">
        <f>IF(Somatorio[[#This Row],[Somatório]]/10&gt;10,10,IF(Somatorio[[#This Row],[Somatório]]/10&gt;1, FLOOR(Somatorio[[#This Row],[Somatório]]/10,1), "0"))</f>
        <v>0</v>
      </c>
    </row>
    <row r="43" spans="1:9" ht="21" customHeight="1" x14ac:dyDescent="0.25">
      <c r="A43" s="8">
        <f>Somatorio[[#This Row],[Somatório]]</f>
        <v>0</v>
      </c>
      <c r="B43" s="15">
        <v>41</v>
      </c>
      <c r="C43" s="16" t="s">
        <v>58</v>
      </c>
      <c r="D43" s="16" t="s">
        <v>10</v>
      </c>
      <c r="E43" s="17">
        <f>IF(B43="","",SUMIF('[1]Pesagem ReciclaCEDAE'!$A$5:$A$2000,'[1]Cadastro &amp; Somatório'!A43,'[1]Pesagem ReciclaCEDAE'!$D$5:$D$2000))</f>
        <v>0</v>
      </c>
      <c r="F43" s="19"/>
      <c r="G43" s="27"/>
      <c r="H43" s="20"/>
      <c r="I43" s="28" t="str">
        <f>IF(Somatorio[[#This Row],[Somatório]]/10&gt;10,10,IF(Somatorio[[#This Row],[Somatório]]/10&gt;1, FLOOR(Somatorio[[#This Row],[Somatório]]/10,1), "0"))</f>
        <v>0</v>
      </c>
    </row>
    <row r="44" spans="1:9" ht="21" customHeight="1" x14ac:dyDescent="0.25">
      <c r="A44" s="14">
        <f>Somatorio[[#This Row],[Somatório]]</f>
        <v>0</v>
      </c>
      <c r="B44" s="15">
        <v>42</v>
      </c>
      <c r="C44" s="16" t="s">
        <v>59</v>
      </c>
      <c r="D44" s="16" t="s">
        <v>14</v>
      </c>
      <c r="E44" s="17">
        <f>IF(B44="","",SUMIF('[1]Pesagem ReciclaCEDAE'!$A$5:$A$2000,'[1]Cadastro &amp; Somatório'!A44,'[1]Pesagem ReciclaCEDAE'!$D$5:$D$2000))</f>
        <v>0</v>
      </c>
      <c r="F44" s="19"/>
      <c r="G44" s="27"/>
      <c r="H44" s="20"/>
      <c r="I44" s="28" t="str">
        <f>IF(Somatorio[[#This Row],[Somatório]]/10&gt;10,10,IF(Somatorio[[#This Row],[Somatório]]/10&gt;1, FLOOR(Somatorio[[#This Row],[Somatório]]/10,1), "0"))</f>
        <v>0</v>
      </c>
    </row>
    <row r="45" spans="1:9" ht="21" customHeight="1" x14ac:dyDescent="0.25">
      <c r="A45" s="8">
        <f>Somatorio[[#This Row],[Somatório]]</f>
        <v>0.3</v>
      </c>
      <c r="B45" s="15">
        <v>43</v>
      </c>
      <c r="C45" s="16" t="s">
        <v>60</v>
      </c>
      <c r="D45" s="16" t="s">
        <v>14</v>
      </c>
      <c r="E45" s="17">
        <f>IF(B45="","",SUMIF('[1]Pesagem ReciclaCEDAE'!$A$5:$A$2000,'[1]Cadastro &amp; Somatório'!A45,'[1]Pesagem ReciclaCEDAE'!$D$5:$D$2000))</f>
        <v>0.3</v>
      </c>
      <c r="F45" s="24"/>
      <c r="G45" s="27"/>
      <c r="H45" s="20"/>
      <c r="I45" s="21" t="str">
        <f>IF(Somatorio[[#This Row],[Somatório]]/10&gt;10,10,IF(Somatorio[[#This Row],[Somatório]]/10&gt;1, FLOOR(Somatorio[[#This Row],[Somatório]]/10,1), "0"))</f>
        <v>0</v>
      </c>
    </row>
    <row r="46" spans="1:9" ht="21" customHeight="1" x14ac:dyDescent="0.25">
      <c r="A46" s="14">
        <f>Somatorio[[#This Row],[Somatório]]</f>
        <v>0</v>
      </c>
      <c r="B46" s="15">
        <v>44</v>
      </c>
      <c r="C46" s="16" t="s">
        <v>61</v>
      </c>
      <c r="D46" s="16" t="s">
        <v>48</v>
      </c>
      <c r="E46" s="17">
        <f>IF(B46="","",SUMIF('[1]Pesagem ReciclaCEDAE'!$A$5:$A$2000,'[1]Cadastro &amp; Somatório'!A46,'[1]Pesagem ReciclaCEDAE'!$D$5:$D$2000))</f>
        <v>0</v>
      </c>
      <c r="F46" s="19"/>
      <c r="G46" s="27"/>
      <c r="H46" s="20"/>
      <c r="I46" s="28" t="str">
        <f>IF(Somatorio[[#This Row],[Somatório]]/10&gt;10,10,IF(Somatorio[[#This Row],[Somatório]]/10&gt;1, FLOOR(Somatorio[[#This Row],[Somatório]]/10,1), "0"))</f>
        <v>0</v>
      </c>
    </row>
    <row r="47" spans="1:9" ht="21" customHeight="1" x14ac:dyDescent="0.25">
      <c r="A47" s="8">
        <f>Somatorio[[#This Row],[Somatório]]</f>
        <v>0</v>
      </c>
      <c r="B47" s="15">
        <v>45</v>
      </c>
      <c r="C47" s="16" t="s">
        <v>62</v>
      </c>
      <c r="D47" s="16" t="s">
        <v>22</v>
      </c>
      <c r="E47" s="17">
        <f>IF(B47="","",SUMIF('[1]Pesagem ReciclaCEDAE'!$A$5:$A$2000,'[1]Cadastro &amp; Somatório'!A47,'[1]Pesagem ReciclaCEDAE'!$D$5:$D$2000))</f>
        <v>0</v>
      </c>
      <c r="F47" s="19"/>
      <c r="G47" s="27"/>
      <c r="H47" s="20"/>
      <c r="I47" s="28" t="str">
        <f>IF(Somatorio[[#This Row],[Somatório]]/10&gt;10,10,IF(Somatorio[[#This Row],[Somatório]]/10&gt;1, FLOOR(Somatorio[[#This Row],[Somatório]]/10,1), "0"))</f>
        <v>0</v>
      </c>
    </row>
    <row r="48" spans="1:9" ht="21" customHeight="1" x14ac:dyDescent="0.25">
      <c r="A48" s="14">
        <f>Somatorio[[#This Row],[Somatório]]</f>
        <v>10.3</v>
      </c>
      <c r="B48" s="15">
        <v>46</v>
      </c>
      <c r="C48" s="16" t="s">
        <v>63</v>
      </c>
      <c r="D48" s="16" t="s">
        <v>14</v>
      </c>
      <c r="E48" s="17">
        <f>IF(B48="","",SUMIF('[1]Pesagem ReciclaCEDAE'!$A$5:$A$2000,'[1]Cadastro &amp; Somatório'!A48,'[1]Pesagem ReciclaCEDAE'!$D$5:$D$2000))</f>
        <v>10.3</v>
      </c>
      <c r="F48" s="19"/>
      <c r="G48" s="27"/>
      <c r="H48" s="20"/>
      <c r="I48" s="28">
        <f>IF(Somatorio[[#This Row],[Somatório]]/10&gt;10,10,IF(Somatorio[[#This Row],[Somatório]]/10&gt;1, FLOOR(Somatorio[[#This Row],[Somatório]]/10,1), "0"))</f>
        <v>1</v>
      </c>
    </row>
    <row r="49" spans="1:9" ht="21" customHeight="1" x14ac:dyDescent="0.25">
      <c r="A49" s="8">
        <f>Somatorio[[#This Row],[Somatório]]</f>
        <v>0</v>
      </c>
      <c r="B49" s="15">
        <v>47</v>
      </c>
      <c r="C49" s="16" t="s">
        <v>64</v>
      </c>
      <c r="D49" s="16" t="s">
        <v>10</v>
      </c>
      <c r="E49" s="17">
        <f>IF(B49="","",SUMIF('[1]Pesagem ReciclaCEDAE'!$A$5:$A$2000,'[1]Cadastro &amp; Somatório'!A49,'[1]Pesagem ReciclaCEDAE'!$D$5:$D$2000))</f>
        <v>0</v>
      </c>
      <c r="F49" s="19"/>
      <c r="G49" s="27"/>
      <c r="H49" s="20"/>
      <c r="I49" s="28" t="str">
        <f>IF(Somatorio[[#This Row],[Somatório]]/10&gt;10,10,IF(Somatorio[[#This Row],[Somatório]]/10&gt;1, FLOOR(Somatorio[[#This Row],[Somatório]]/10,1), "0"))</f>
        <v>0</v>
      </c>
    </row>
    <row r="50" spans="1:9" ht="21" customHeight="1" x14ac:dyDescent="0.25">
      <c r="A50" s="14">
        <f>Somatorio[[#This Row],[Somatório]]</f>
        <v>0</v>
      </c>
      <c r="B50" s="15">
        <v>48</v>
      </c>
      <c r="C50" s="16" t="s">
        <v>65</v>
      </c>
      <c r="D50" s="16" t="s">
        <v>10</v>
      </c>
      <c r="E50" s="17">
        <f>IF(B50="","",SUMIF('[1]Pesagem ReciclaCEDAE'!$A$5:$A$2000,'[1]Cadastro &amp; Somatório'!A50,'[1]Pesagem ReciclaCEDAE'!$D$5:$D$2000))</f>
        <v>0</v>
      </c>
      <c r="F50" s="19"/>
      <c r="G50" s="27"/>
      <c r="H50" s="20"/>
      <c r="I50" s="28" t="str">
        <f>IF(Somatorio[[#This Row],[Somatório]]/10&gt;10,10,IF(Somatorio[[#This Row],[Somatório]]/10&gt;1, FLOOR(Somatorio[[#This Row],[Somatório]]/10,1), "0"))</f>
        <v>0</v>
      </c>
    </row>
    <row r="51" spans="1:9" ht="21" customHeight="1" x14ac:dyDescent="0.25">
      <c r="A51" s="8">
        <f>Somatorio[[#This Row],[Somatório]]</f>
        <v>0</v>
      </c>
      <c r="B51" s="15">
        <v>49</v>
      </c>
      <c r="C51" s="16" t="s">
        <v>66</v>
      </c>
      <c r="D51" s="16" t="s">
        <v>16</v>
      </c>
      <c r="E51" s="17">
        <f>IF(B51="","",SUMIF('[1]Pesagem ReciclaCEDAE'!$A$5:$A$2000,'[1]Cadastro &amp; Somatório'!A51,'[1]Pesagem ReciclaCEDAE'!$D$5:$D$2000))</f>
        <v>0</v>
      </c>
      <c r="F51" s="19"/>
      <c r="G51" s="27"/>
      <c r="H51" s="20"/>
      <c r="I51" s="28" t="str">
        <f>IF(Somatorio[[#This Row],[Somatório]]/10&gt;10,10,IF(Somatorio[[#This Row],[Somatório]]/10&gt;1, FLOOR(Somatorio[[#This Row],[Somatório]]/10,1), "0"))</f>
        <v>0</v>
      </c>
    </row>
    <row r="52" spans="1:9" ht="21" customHeight="1" x14ac:dyDescent="0.25">
      <c r="A52" s="14">
        <f>Somatorio[[#This Row],[Somatório]]</f>
        <v>0</v>
      </c>
      <c r="B52" s="15">
        <v>50</v>
      </c>
      <c r="C52" s="16" t="s">
        <v>67</v>
      </c>
      <c r="D52" s="16" t="s">
        <v>10</v>
      </c>
      <c r="E52" s="17">
        <f>IF(B52="","",SUMIF('[1]Pesagem ReciclaCEDAE'!$A$5:$A$2000,'[1]Cadastro &amp; Somatório'!A52,'[1]Pesagem ReciclaCEDAE'!$D$5:$D$2000))</f>
        <v>0</v>
      </c>
      <c r="F52" s="19"/>
      <c r="G52" s="27"/>
      <c r="H52" s="20"/>
      <c r="I52" s="28" t="str">
        <f>IF(Somatorio[[#This Row],[Somatório]]/10&gt;10,10,IF(Somatorio[[#This Row],[Somatório]]/10&gt;1, FLOOR(Somatorio[[#This Row],[Somatório]]/10,1), "0"))</f>
        <v>0</v>
      </c>
    </row>
    <row r="53" spans="1:9" ht="21" customHeight="1" x14ac:dyDescent="0.25">
      <c r="A53" s="8">
        <f>Somatorio[[#This Row],[Somatório]]</f>
        <v>0</v>
      </c>
      <c r="B53" s="15">
        <v>51</v>
      </c>
      <c r="C53" s="16" t="s">
        <v>68</v>
      </c>
      <c r="D53" s="16" t="s">
        <v>48</v>
      </c>
      <c r="E53" s="17">
        <f>IF(B53="","",SUMIF('[1]Pesagem ReciclaCEDAE'!$A$5:$A$2000,'[1]Cadastro &amp; Somatório'!A53,'[1]Pesagem ReciclaCEDAE'!$D$5:$D$2000))</f>
        <v>0</v>
      </c>
      <c r="F53" s="19"/>
      <c r="G53" s="27"/>
      <c r="H53" s="20"/>
      <c r="I53" s="28" t="str">
        <f>IF(Somatorio[[#This Row],[Somatório]]/10&gt;10,10,IF(Somatorio[[#This Row],[Somatório]]/10&gt;1, FLOOR(Somatorio[[#This Row],[Somatório]]/10,1), "0"))</f>
        <v>0</v>
      </c>
    </row>
    <row r="54" spans="1:9" ht="21" customHeight="1" x14ac:dyDescent="0.25">
      <c r="A54" s="14">
        <f>Somatorio[[#This Row],[Somatório]]</f>
        <v>247.70000000000005</v>
      </c>
      <c r="B54" s="15">
        <v>52</v>
      </c>
      <c r="C54" s="16" t="s">
        <v>69</v>
      </c>
      <c r="D54" s="16" t="s">
        <v>16</v>
      </c>
      <c r="E54" s="25">
        <f>IF(B54="","",SUMIF('[1]Pesagem ReciclaCEDAE'!$A$5:$A$2000,'[1]Cadastro &amp; Somatório'!A54,'[1]Pesagem ReciclaCEDAE'!$D$5:$D$2000))</f>
        <v>247.70000000000005</v>
      </c>
      <c r="F54" s="18" t="s">
        <v>18</v>
      </c>
      <c r="G54" s="26" t="s">
        <v>18</v>
      </c>
      <c r="H54" s="20"/>
      <c r="I54" s="21">
        <f>IF(Somatorio[[#This Row],[Somatório]]/10&gt;10,10,IF(Somatorio[[#This Row],[Somatório]]/10&gt;1, FLOOR(Somatorio[[#This Row],[Somatório]]/10,1), "0"))</f>
        <v>10</v>
      </c>
    </row>
    <row r="55" spans="1:9" ht="21" customHeight="1" x14ac:dyDescent="0.25">
      <c r="A55" s="8">
        <f>Somatorio[[#This Row],[Somatório]]</f>
        <v>4248</v>
      </c>
      <c r="B55" s="15">
        <v>53</v>
      </c>
      <c r="C55" s="16" t="s">
        <v>70</v>
      </c>
      <c r="D55" s="16" t="s">
        <v>10</v>
      </c>
      <c r="E55" s="25">
        <f>IF(B55="","",SUMIF('[1]Pesagem ReciclaCEDAE'!$A$5:$A$2000,'[1]Cadastro &amp; Somatório'!A55,'[1]Pesagem ReciclaCEDAE'!$D$5:$D$2000))</f>
        <v>4248</v>
      </c>
      <c r="F55" s="18" t="s">
        <v>18</v>
      </c>
      <c r="G55" s="26" t="s">
        <v>18</v>
      </c>
      <c r="H55" s="20">
        <v>10</v>
      </c>
      <c r="I55" s="21">
        <f>IF(Somatorio[[#This Row],[Somatório]]/10&gt;10,10,IF(Somatorio[[#This Row],[Somatório]]/10&gt;1, FLOOR(Somatorio[[#This Row],[Somatório]]/10,1), "0"))</f>
        <v>10</v>
      </c>
    </row>
    <row r="56" spans="1:9" ht="21" customHeight="1" x14ac:dyDescent="0.25">
      <c r="A56" s="14">
        <f>Somatorio[[#This Row],[Somatório]]</f>
        <v>10.5</v>
      </c>
      <c r="B56" s="15">
        <v>54</v>
      </c>
      <c r="C56" s="16" t="s">
        <v>71</v>
      </c>
      <c r="D56" s="16" t="s">
        <v>22</v>
      </c>
      <c r="E56" s="17">
        <f>IF(B56="","",SUMIF('[1]Pesagem ReciclaCEDAE'!$A$5:$A$2000,'[1]Cadastro &amp; Somatório'!A56,'[1]Pesagem ReciclaCEDAE'!$D$5:$D$2000))</f>
        <v>10.5</v>
      </c>
      <c r="F56" s="19"/>
      <c r="G56" s="27"/>
      <c r="H56" s="20"/>
      <c r="I56" s="28">
        <f>IF(Somatorio[[#This Row],[Somatório]]/10&gt;10,10,IF(Somatorio[[#This Row],[Somatório]]/10&gt;1, FLOOR(Somatorio[[#This Row],[Somatório]]/10,1), "0"))</f>
        <v>1</v>
      </c>
    </row>
    <row r="57" spans="1:9" ht="21" customHeight="1" x14ac:dyDescent="0.25">
      <c r="A57" s="8">
        <f>Somatorio[[#This Row],[Somatório]]</f>
        <v>490.30000000000013</v>
      </c>
      <c r="B57" s="15">
        <v>55</v>
      </c>
      <c r="C57" s="16" t="s">
        <v>72</v>
      </c>
      <c r="D57" s="16" t="s">
        <v>10</v>
      </c>
      <c r="E57" s="25">
        <f>IF(B57="","",SUMIF('[1]Pesagem ReciclaCEDAE'!$A$5:$A$2000,'[1]Cadastro &amp; Somatório'!A57,'[1]Pesagem ReciclaCEDAE'!$D$5:$D$2000))</f>
        <v>490.30000000000013</v>
      </c>
      <c r="F57" s="18" t="s">
        <v>18</v>
      </c>
      <c r="G57" s="26" t="s">
        <v>18</v>
      </c>
      <c r="H57" s="20">
        <v>10</v>
      </c>
      <c r="I57" s="21">
        <f>IF(Somatorio[[#This Row],[Somatório]]/10&gt;10,10,IF(Somatorio[[#This Row],[Somatório]]/10&gt;1, FLOOR(Somatorio[[#This Row],[Somatório]]/10,1), "0"))</f>
        <v>10</v>
      </c>
    </row>
    <row r="58" spans="1:9" ht="21" customHeight="1" x14ac:dyDescent="0.25">
      <c r="A58" s="14">
        <f>Somatorio[[#This Row],[Somatório]]</f>
        <v>0.3</v>
      </c>
      <c r="B58" s="15">
        <v>56</v>
      </c>
      <c r="C58" s="16" t="s">
        <v>73</v>
      </c>
      <c r="D58" s="16" t="s">
        <v>14</v>
      </c>
      <c r="E58" s="17">
        <f>IF(B58="","",SUMIF('[1]Pesagem ReciclaCEDAE'!$A$5:$A$2000,'[1]Cadastro &amp; Somatório'!A58,'[1]Pesagem ReciclaCEDAE'!$D$5:$D$2000))</f>
        <v>0.3</v>
      </c>
      <c r="F58" s="19"/>
      <c r="G58" s="27"/>
      <c r="H58" s="20"/>
      <c r="I58" s="28" t="str">
        <f>IF(Somatorio[[#This Row],[Somatório]]/10&gt;10,10,IF(Somatorio[[#This Row],[Somatório]]/10&gt;1, FLOOR(Somatorio[[#This Row],[Somatório]]/10,1), "0"))</f>
        <v>0</v>
      </c>
    </row>
    <row r="59" spans="1:9" ht="21" customHeight="1" x14ac:dyDescent="0.25">
      <c r="A59" s="8">
        <f>Somatorio[[#This Row],[Somatório]]</f>
        <v>104.80000000000003</v>
      </c>
      <c r="B59" s="15">
        <v>57</v>
      </c>
      <c r="C59" s="16" t="s">
        <v>74</v>
      </c>
      <c r="D59" s="16" t="s">
        <v>14</v>
      </c>
      <c r="E59" s="17">
        <f>IF(B59="","",SUMIF('[1]Pesagem ReciclaCEDAE'!$A$5:$A$2000,'[1]Cadastro &amp; Somatório'!A59,'[1]Pesagem ReciclaCEDAE'!$D$5:$D$2000))</f>
        <v>104.80000000000003</v>
      </c>
      <c r="F59" s="18" t="s">
        <v>18</v>
      </c>
      <c r="G59" s="27"/>
      <c r="H59" s="20"/>
      <c r="I59" s="21">
        <f>IF(Somatorio[[#This Row],[Somatório]]/10&gt;10,10,IF(Somatorio[[#This Row],[Somatório]]/10&gt;1, FLOOR(Somatorio[[#This Row],[Somatório]]/10,1), "0"))</f>
        <v>10</v>
      </c>
    </row>
    <row r="60" spans="1:9" ht="21" customHeight="1" x14ac:dyDescent="0.25">
      <c r="A60" s="14">
        <f>Somatorio[[#This Row],[Somatório]]</f>
        <v>52.8</v>
      </c>
      <c r="B60" s="15">
        <v>58</v>
      </c>
      <c r="C60" s="16" t="s">
        <v>75</v>
      </c>
      <c r="D60" s="16" t="s">
        <v>16</v>
      </c>
      <c r="E60" s="17">
        <f>IF(B60="","",SUMIF('[1]Pesagem ReciclaCEDAE'!$A$5:$A$2000,'[1]Cadastro &amp; Somatório'!A60,'[1]Pesagem ReciclaCEDAE'!$D$5:$D$2000))</f>
        <v>52.8</v>
      </c>
      <c r="F60" s="18" t="s">
        <v>18</v>
      </c>
      <c r="G60" s="27"/>
      <c r="H60" s="20"/>
      <c r="I60" s="21">
        <f>IF(Somatorio[[#This Row],[Somatório]]/10&gt;10,10,IF(Somatorio[[#This Row],[Somatório]]/10&gt;1, FLOOR(Somatorio[[#This Row],[Somatório]]/10,1), "0"))</f>
        <v>5</v>
      </c>
    </row>
    <row r="61" spans="1:9" ht="21" customHeight="1" x14ac:dyDescent="0.25">
      <c r="A61" s="8">
        <f>Somatorio[[#This Row],[Somatório]]</f>
        <v>5.4</v>
      </c>
      <c r="B61" s="15">
        <v>59</v>
      </c>
      <c r="C61" s="16" t="s">
        <v>76</v>
      </c>
      <c r="D61" s="16" t="s">
        <v>16</v>
      </c>
      <c r="E61" s="17">
        <f>IF(B61="","",SUMIF('[1]Pesagem ReciclaCEDAE'!$A$5:$A$2000,'[1]Cadastro &amp; Somatório'!A61,'[1]Pesagem ReciclaCEDAE'!$D$5:$D$2000))</f>
        <v>5.4</v>
      </c>
      <c r="F61" s="24"/>
      <c r="G61" s="27"/>
      <c r="H61" s="20"/>
      <c r="I61" s="21" t="str">
        <f>IF(Somatorio[[#This Row],[Somatório]]/10&gt;10,10,IF(Somatorio[[#This Row],[Somatório]]/10&gt;1, FLOOR(Somatorio[[#This Row],[Somatório]]/10,1), "0"))</f>
        <v>0</v>
      </c>
    </row>
    <row r="62" spans="1:9" ht="21" customHeight="1" x14ac:dyDescent="0.25">
      <c r="A62" s="14">
        <f>Somatorio[[#This Row],[Somatório]]</f>
        <v>18.100000000000001</v>
      </c>
      <c r="B62" s="15">
        <v>60</v>
      </c>
      <c r="C62" s="16" t="s">
        <v>77</v>
      </c>
      <c r="D62" s="16" t="s">
        <v>10</v>
      </c>
      <c r="E62" s="17">
        <f>IF(B62="","",SUMIF('[1]Pesagem ReciclaCEDAE'!$A$5:$A$2000,'[1]Cadastro &amp; Somatório'!A62,'[1]Pesagem ReciclaCEDAE'!$D$5:$D$2000))</f>
        <v>18.100000000000001</v>
      </c>
      <c r="F62" s="24"/>
      <c r="G62" s="27"/>
      <c r="H62" s="20"/>
      <c r="I62" s="21">
        <f>IF(Somatorio[[#This Row],[Somatório]]/10&gt;10,10,IF(Somatorio[[#This Row],[Somatório]]/10&gt;1, FLOOR(Somatorio[[#This Row],[Somatório]]/10,1), "0"))</f>
        <v>1</v>
      </c>
    </row>
    <row r="63" spans="1:9" ht="21" customHeight="1" x14ac:dyDescent="0.25">
      <c r="A63" s="8">
        <f>Somatorio[[#This Row],[Somatório]]</f>
        <v>3692.5600000000013</v>
      </c>
      <c r="B63" s="15">
        <v>61</v>
      </c>
      <c r="C63" s="16" t="s">
        <v>78</v>
      </c>
      <c r="D63" s="16" t="s">
        <v>14</v>
      </c>
      <c r="E63" s="25">
        <f>IF(B63="","",SUMIF('[1]Pesagem ReciclaCEDAE'!$A$5:$A$2000,'[1]Cadastro &amp; Somatório'!A63,'[1]Pesagem ReciclaCEDAE'!$D$5:$D$2000))</f>
        <v>3692.5600000000013</v>
      </c>
      <c r="F63" s="18" t="s">
        <v>18</v>
      </c>
      <c r="G63" s="26" t="s">
        <v>18</v>
      </c>
      <c r="H63" s="20">
        <v>7</v>
      </c>
      <c r="I63" s="21">
        <f>IF(Somatorio[[#This Row],[Somatório]]/10&gt;10,10,IF(Somatorio[[#This Row],[Somatório]]/10&gt;1, FLOOR(Somatorio[[#This Row],[Somatório]]/10,1), "0"))</f>
        <v>10</v>
      </c>
    </row>
    <row r="64" spans="1:9" ht="21" customHeight="1" x14ac:dyDescent="0.25">
      <c r="A64" s="14">
        <f>Somatorio[[#This Row],[Somatório]]</f>
        <v>0</v>
      </c>
      <c r="B64" s="15">
        <v>62</v>
      </c>
      <c r="C64" s="16" t="s">
        <v>79</v>
      </c>
      <c r="D64" s="16" t="s">
        <v>33</v>
      </c>
      <c r="E64" s="17">
        <f>IF(B64="","",SUMIF('[1]Pesagem ReciclaCEDAE'!$A$5:$A$2000,'[1]Cadastro &amp; Somatório'!A64,'[1]Pesagem ReciclaCEDAE'!$D$5:$D$2000))</f>
        <v>0</v>
      </c>
      <c r="F64" s="19"/>
      <c r="G64" s="27"/>
      <c r="H64" s="20"/>
      <c r="I64" s="28" t="str">
        <f>IF(Somatorio[[#This Row],[Somatório]]/10&gt;10,10,IF(Somatorio[[#This Row],[Somatório]]/10&gt;1, FLOOR(Somatorio[[#This Row],[Somatório]]/10,1), "0"))</f>
        <v>0</v>
      </c>
    </row>
    <row r="65" spans="1:9" ht="21" customHeight="1" x14ac:dyDescent="0.25">
      <c r="A65" s="8">
        <f>Somatorio[[#This Row],[Somatório]]</f>
        <v>42.199999999999996</v>
      </c>
      <c r="B65" s="15">
        <v>63</v>
      </c>
      <c r="C65" s="16" t="s">
        <v>80</v>
      </c>
      <c r="D65" s="16" t="s">
        <v>22</v>
      </c>
      <c r="E65" s="17">
        <f>IF(B65="","",SUMIF('[1]Pesagem ReciclaCEDAE'!$A$5:$A$2000,'[1]Cadastro &amp; Somatório'!A65,'[1]Pesagem ReciclaCEDAE'!$D$5:$D$2000))</f>
        <v>42.199999999999996</v>
      </c>
      <c r="F65" s="24"/>
      <c r="G65" s="27"/>
      <c r="H65" s="20">
        <v>1</v>
      </c>
      <c r="I65" s="21">
        <f>IF(Somatorio[[#This Row],[Somatório]]/10&gt;10,10,IF(Somatorio[[#This Row],[Somatório]]/10&gt;1, FLOOR(Somatorio[[#This Row],[Somatório]]/10,1), "0"))</f>
        <v>4</v>
      </c>
    </row>
    <row r="66" spans="1:9" ht="21" customHeight="1" x14ac:dyDescent="0.25">
      <c r="A66" s="14">
        <f>Somatorio[[#This Row],[Somatório]]</f>
        <v>17.3</v>
      </c>
      <c r="B66" s="15">
        <v>64</v>
      </c>
      <c r="C66" s="16" t="s">
        <v>81</v>
      </c>
      <c r="D66" s="16" t="s">
        <v>16</v>
      </c>
      <c r="E66" s="17">
        <f>IF(B66="","",SUMIF('[1]Pesagem ReciclaCEDAE'!$A$5:$A$2000,'[1]Cadastro &amp; Somatório'!A66,'[1]Pesagem ReciclaCEDAE'!$D$5:$D$2000))</f>
        <v>17.3</v>
      </c>
      <c r="F66" s="24"/>
      <c r="G66" s="27"/>
      <c r="H66" s="20"/>
      <c r="I66" s="21">
        <f>IF(Somatorio[[#This Row],[Somatório]]/10&gt;10,10,IF(Somatorio[[#This Row],[Somatório]]/10&gt;1, FLOOR(Somatorio[[#This Row],[Somatório]]/10,1), "0"))</f>
        <v>1</v>
      </c>
    </row>
    <row r="67" spans="1:9" ht="21" customHeight="1" x14ac:dyDescent="0.25">
      <c r="A67" s="8">
        <f>Somatorio[[#This Row],[Somatório]]</f>
        <v>0</v>
      </c>
      <c r="B67" s="15">
        <v>65</v>
      </c>
      <c r="C67" s="16" t="s">
        <v>82</v>
      </c>
      <c r="D67" s="16" t="s">
        <v>10</v>
      </c>
      <c r="E67" s="17">
        <f>IF(B67="","",SUMIF('[1]Pesagem ReciclaCEDAE'!$A$5:$A$2000,'[1]Cadastro &amp; Somatório'!A67,'[1]Pesagem ReciclaCEDAE'!$D$5:$D$2000))</f>
        <v>0</v>
      </c>
      <c r="F67" s="19"/>
      <c r="G67" s="27"/>
      <c r="H67" s="20"/>
      <c r="I67" s="28" t="str">
        <f>IF(Somatorio[[#This Row],[Somatório]]/10&gt;10,10,IF(Somatorio[[#This Row],[Somatório]]/10&gt;1, FLOOR(Somatorio[[#This Row],[Somatório]]/10,1), "0"))</f>
        <v>0</v>
      </c>
    </row>
    <row r="68" spans="1:9" ht="21" customHeight="1" x14ac:dyDescent="0.25">
      <c r="A68" s="14">
        <f>Somatorio[[#This Row],[Somatório]]</f>
        <v>0</v>
      </c>
      <c r="B68" s="15">
        <v>66</v>
      </c>
      <c r="C68" s="16" t="s">
        <v>83</v>
      </c>
      <c r="D68" s="16" t="s">
        <v>10</v>
      </c>
      <c r="E68" s="17">
        <f>IF(B68="","",SUMIF('[1]Pesagem ReciclaCEDAE'!$A$5:$A$2000,'[1]Cadastro &amp; Somatório'!A68,'[1]Pesagem ReciclaCEDAE'!$D$5:$D$2000))</f>
        <v>0</v>
      </c>
      <c r="F68" s="19"/>
      <c r="G68" s="27"/>
      <c r="H68" s="20"/>
      <c r="I68" s="28" t="str">
        <f>IF(Somatorio[[#This Row],[Somatório]]/10&gt;10,10,IF(Somatorio[[#This Row],[Somatório]]/10&gt;1, FLOOR(Somatorio[[#This Row],[Somatório]]/10,1), "0"))</f>
        <v>0</v>
      </c>
    </row>
    <row r="69" spans="1:9" ht="21" customHeight="1" x14ac:dyDescent="0.25">
      <c r="A69" s="8">
        <f>Somatorio[[#This Row],[Somatório]]</f>
        <v>22.4</v>
      </c>
      <c r="B69" s="15">
        <v>67</v>
      </c>
      <c r="C69" s="16" t="s">
        <v>84</v>
      </c>
      <c r="D69" s="16" t="s">
        <v>10</v>
      </c>
      <c r="E69" s="17">
        <f>IF(B69="","",SUMIF('[1]Pesagem ReciclaCEDAE'!$A$5:$A$2000,'[1]Cadastro &amp; Somatório'!A69,'[1]Pesagem ReciclaCEDAE'!$D$5:$D$2000))</f>
        <v>22.4</v>
      </c>
      <c r="F69" s="24"/>
      <c r="G69" s="27"/>
      <c r="H69" s="20"/>
      <c r="I69" s="21">
        <f>IF(Somatorio[[#This Row],[Somatório]]/10&gt;10,10,IF(Somatorio[[#This Row],[Somatório]]/10&gt;1, FLOOR(Somatorio[[#This Row],[Somatório]]/10,1), "0"))</f>
        <v>2</v>
      </c>
    </row>
    <row r="70" spans="1:9" ht="21" customHeight="1" x14ac:dyDescent="0.25">
      <c r="A70" s="14">
        <f>Somatorio[[#This Row],[Somatório]]</f>
        <v>1</v>
      </c>
      <c r="B70" s="15">
        <v>68</v>
      </c>
      <c r="C70" s="16" t="s">
        <v>85</v>
      </c>
      <c r="D70" s="16" t="s">
        <v>10</v>
      </c>
      <c r="E70" s="17">
        <f>IF(B70="","",SUMIF('[1]Pesagem ReciclaCEDAE'!$A$5:$A$2000,'[1]Cadastro &amp; Somatório'!A70,'[1]Pesagem ReciclaCEDAE'!$D$5:$D$2000))</f>
        <v>1</v>
      </c>
      <c r="F70" s="24"/>
      <c r="G70" s="27"/>
      <c r="H70" s="20"/>
      <c r="I70" s="21" t="str">
        <f>IF(Somatorio[[#This Row],[Somatório]]/10&gt;10,10,IF(Somatorio[[#This Row],[Somatório]]/10&gt;1, FLOOR(Somatorio[[#This Row],[Somatório]]/10,1), "0"))</f>
        <v>0</v>
      </c>
    </row>
    <row r="71" spans="1:9" ht="21" customHeight="1" x14ac:dyDescent="0.25">
      <c r="A71" s="8">
        <f>Somatorio[[#This Row],[Somatório]]</f>
        <v>0</v>
      </c>
      <c r="B71" s="15">
        <v>69</v>
      </c>
      <c r="C71" s="16" t="s">
        <v>86</v>
      </c>
      <c r="D71" s="16" t="s">
        <v>48</v>
      </c>
      <c r="E71" s="17">
        <f>IF(B71="","",SUMIF('[1]Pesagem ReciclaCEDAE'!$A$5:$A$2000,'[1]Cadastro &amp; Somatório'!A71,'[1]Pesagem ReciclaCEDAE'!$D$5:$D$2000))</f>
        <v>0</v>
      </c>
      <c r="F71" s="19"/>
      <c r="G71" s="27"/>
      <c r="H71" s="20"/>
      <c r="I71" s="28" t="str">
        <f>IF(Somatorio[[#This Row],[Somatório]]/10&gt;10,10,IF(Somatorio[[#This Row],[Somatório]]/10&gt;1, FLOOR(Somatorio[[#This Row],[Somatório]]/10,1), "0"))</f>
        <v>0</v>
      </c>
    </row>
    <row r="72" spans="1:9" ht="21" customHeight="1" x14ac:dyDescent="0.25">
      <c r="A72" s="14">
        <f>Somatorio[[#This Row],[Somatório]]</f>
        <v>93.600000000000009</v>
      </c>
      <c r="B72" s="15">
        <v>70</v>
      </c>
      <c r="C72" s="16" t="s">
        <v>87</v>
      </c>
      <c r="D72" s="16" t="s">
        <v>10</v>
      </c>
      <c r="E72" s="17">
        <f>IF(B72="","",SUMIF('[1]Pesagem ReciclaCEDAE'!$A$5:$A$2000,'[1]Cadastro &amp; Somatório'!A72,'[1]Pesagem ReciclaCEDAE'!$D$5:$D$2000))</f>
        <v>93.600000000000009</v>
      </c>
      <c r="F72" s="18" t="s">
        <v>18</v>
      </c>
      <c r="G72" s="27"/>
      <c r="H72" s="20">
        <v>2</v>
      </c>
      <c r="I72" s="21">
        <f>IF(Somatorio[[#This Row],[Somatório]]/10&gt;10,10,IF(Somatorio[[#This Row],[Somatório]]/10&gt;1, FLOOR(Somatorio[[#This Row],[Somatório]]/10,1), "0"))</f>
        <v>9</v>
      </c>
    </row>
    <row r="73" spans="1:9" ht="21" customHeight="1" x14ac:dyDescent="0.25">
      <c r="A73" s="8">
        <f>Somatorio[[#This Row],[Somatório]]</f>
        <v>94.100000000000009</v>
      </c>
      <c r="B73" s="15">
        <v>71</v>
      </c>
      <c r="C73" s="16" t="s">
        <v>88</v>
      </c>
      <c r="D73" s="16" t="s">
        <v>10</v>
      </c>
      <c r="E73" s="17">
        <f>IF(B73="","",SUMIF('[1]Pesagem ReciclaCEDAE'!$A$5:$A$2000,'[1]Cadastro &amp; Somatório'!A73,'[1]Pesagem ReciclaCEDAE'!$D$5:$D$2000))</f>
        <v>94.100000000000009</v>
      </c>
      <c r="F73" s="18" t="s">
        <v>18</v>
      </c>
      <c r="G73" s="27"/>
      <c r="H73" s="20">
        <v>1</v>
      </c>
      <c r="I73" s="21">
        <f>IF(Somatorio[[#This Row],[Somatório]]/10&gt;10,10,IF(Somatorio[[#This Row],[Somatório]]/10&gt;1, FLOOR(Somatorio[[#This Row],[Somatório]]/10,1), "0"))</f>
        <v>9</v>
      </c>
    </row>
    <row r="74" spans="1:9" ht="21" customHeight="1" x14ac:dyDescent="0.25">
      <c r="A74" s="14">
        <f>Somatorio[[#This Row],[Somatório]]</f>
        <v>0</v>
      </c>
      <c r="B74" s="15">
        <v>72</v>
      </c>
      <c r="C74" s="16" t="s">
        <v>89</v>
      </c>
      <c r="D74" s="16" t="s">
        <v>22</v>
      </c>
      <c r="E74" s="17">
        <f>IF(B74="","",SUMIF('[1]Pesagem ReciclaCEDAE'!$A$5:$A$2000,'[1]Cadastro &amp; Somatório'!A74,'[1]Pesagem ReciclaCEDAE'!$D$5:$D$2000))</f>
        <v>0</v>
      </c>
      <c r="F74" s="19"/>
      <c r="G74" s="27"/>
      <c r="H74" s="20"/>
      <c r="I74" s="28" t="str">
        <f>IF(Somatorio[[#This Row],[Somatório]]/10&gt;10,10,IF(Somatorio[[#This Row],[Somatório]]/10&gt;1, FLOOR(Somatorio[[#This Row],[Somatório]]/10,1), "0"))</f>
        <v>0</v>
      </c>
    </row>
    <row r="75" spans="1:9" ht="21" customHeight="1" x14ac:dyDescent="0.25">
      <c r="A75" s="8">
        <f>Somatorio[[#This Row],[Somatório]]</f>
        <v>0</v>
      </c>
      <c r="B75" s="15">
        <v>73</v>
      </c>
      <c r="C75" s="16" t="s">
        <v>90</v>
      </c>
      <c r="D75" s="16" t="s">
        <v>16</v>
      </c>
      <c r="E75" s="17">
        <f>IF(B75="","",SUMIF('[1]Pesagem ReciclaCEDAE'!$A$5:$A$2000,'[1]Cadastro &amp; Somatório'!A75,'[1]Pesagem ReciclaCEDAE'!$D$5:$D$2000))</f>
        <v>0</v>
      </c>
      <c r="F75" s="19"/>
      <c r="G75" s="27"/>
      <c r="H75" s="20"/>
      <c r="I75" s="28" t="str">
        <f>IF(Somatorio[[#This Row],[Somatório]]/10&gt;10,10,IF(Somatorio[[#This Row],[Somatório]]/10&gt;1, FLOOR(Somatorio[[#This Row],[Somatório]]/10,1), "0"))</f>
        <v>0</v>
      </c>
    </row>
    <row r="76" spans="1:9" ht="21" customHeight="1" x14ac:dyDescent="0.25">
      <c r="A76" s="14">
        <f>Somatorio[[#This Row],[Somatório]]</f>
        <v>0</v>
      </c>
      <c r="B76" s="15">
        <v>74</v>
      </c>
      <c r="C76" s="16" t="s">
        <v>91</v>
      </c>
      <c r="D76" s="16" t="s">
        <v>14</v>
      </c>
      <c r="E76" s="17">
        <f>IF(B76="","",SUMIF('[1]Pesagem ReciclaCEDAE'!$A$5:$A$2000,'[1]Cadastro &amp; Somatório'!A76,'[1]Pesagem ReciclaCEDAE'!$D$5:$D$2000))</f>
        <v>0</v>
      </c>
      <c r="F76" s="19"/>
      <c r="G76" s="27"/>
      <c r="H76" s="20"/>
      <c r="I76" s="28" t="str">
        <f>IF(Somatorio[[#This Row],[Somatório]]/10&gt;10,10,IF(Somatorio[[#This Row],[Somatório]]/10&gt;1, FLOOR(Somatorio[[#This Row],[Somatório]]/10,1), "0"))</f>
        <v>0</v>
      </c>
    </row>
    <row r="77" spans="1:9" ht="21" customHeight="1" x14ac:dyDescent="0.25">
      <c r="A77" s="8">
        <f>Somatorio[[#This Row],[Somatório]]</f>
        <v>0</v>
      </c>
      <c r="B77" s="15">
        <v>75</v>
      </c>
      <c r="C77" s="16" t="s">
        <v>92</v>
      </c>
      <c r="D77" s="16" t="s">
        <v>10</v>
      </c>
      <c r="E77" s="17">
        <f>IF(B77="","",SUMIF('[1]Pesagem ReciclaCEDAE'!$A$5:$A$2000,'[1]Cadastro &amp; Somatório'!A77,'[1]Pesagem ReciclaCEDAE'!$D$5:$D$2000))</f>
        <v>0</v>
      </c>
      <c r="F77" s="19"/>
      <c r="G77" s="27"/>
      <c r="H77" s="20"/>
      <c r="I77" s="28" t="str">
        <f>IF(Somatorio[[#This Row],[Somatório]]/10&gt;10,10,IF(Somatorio[[#This Row],[Somatório]]/10&gt;1, FLOOR(Somatorio[[#This Row],[Somatório]]/10,1), "0"))</f>
        <v>0</v>
      </c>
    </row>
    <row r="78" spans="1:9" ht="21" customHeight="1" x14ac:dyDescent="0.25">
      <c r="A78" s="14">
        <f>Somatorio[[#This Row],[Somatório]]</f>
        <v>0</v>
      </c>
      <c r="B78" s="15">
        <v>76</v>
      </c>
      <c r="C78" s="16" t="s">
        <v>93</v>
      </c>
      <c r="D78" s="16" t="s">
        <v>33</v>
      </c>
      <c r="E78" s="17">
        <f>IF(B78="","",SUMIF('[1]Pesagem ReciclaCEDAE'!$A$5:$A$2000,'[1]Cadastro &amp; Somatório'!A78,'[1]Pesagem ReciclaCEDAE'!$D$5:$D$2000))</f>
        <v>0</v>
      </c>
      <c r="F78" s="19"/>
      <c r="G78" s="27"/>
      <c r="H78" s="20"/>
      <c r="I78" s="28" t="str">
        <f>IF(Somatorio[[#This Row],[Somatório]]/10&gt;10,10,IF(Somatorio[[#This Row],[Somatório]]/10&gt;1, FLOOR(Somatorio[[#This Row],[Somatório]]/10,1), "0"))</f>
        <v>0</v>
      </c>
    </row>
    <row r="79" spans="1:9" ht="21" customHeight="1" x14ac:dyDescent="0.25">
      <c r="A79" s="8">
        <f>Somatorio[[#This Row],[Somatório]]</f>
        <v>7.6000000000000005</v>
      </c>
      <c r="B79" s="15">
        <v>77</v>
      </c>
      <c r="C79" s="16" t="s">
        <v>94</v>
      </c>
      <c r="D79" s="16" t="s">
        <v>22</v>
      </c>
      <c r="E79" s="17">
        <f>IF(B79="","",SUMIF('[1]Pesagem ReciclaCEDAE'!$A$5:$A$2000,'[1]Cadastro &amp; Somatório'!A79,'[1]Pesagem ReciclaCEDAE'!$D$5:$D$2000))</f>
        <v>7.6000000000000005</v>
      </c>
      <c r="F79" s="24"/>
      <c r="G79" s="27"/>
      <c r="H79" s="20"/>
      <c r="I79" s="21" t="str">
        <f>IF(Somatorio[[#This Row],[Somatório]]/10&gt;10,10,IF(Somatorio[[#This Row],[Somatório]]/10&gt;1, FLOOR(Somatorio[[#This Row],[Somatório]]/10,1), "0"))</f>
        <v>0</v>
      </c>
    </row>
    <row r="80" spans="1:9" ht="21" customHeight="1" x14ac:dyDescent="0.25">
      <c r="A80" s="14">
        <f>Somatorio[[#This Row],[Somatório]]</f>
        <v>0</v>
      </c>
      <c r="B80" s="15">
        <v>78</v>
      </c>
      <c r="C80" s="16" t="s">
        <v>95</v>
      </c>
      <c r="D80" s="16" t="s">
        <v>14</v>
      </c>
      <c r="E80" s="17">
        <f>IF(B80="","",SUMIF('[1]Pesagem ReciclaCEDAE'!$A$5:$A$2000,'[1]Cadastro &amp; Somatório'!A80,'[1]Pesagem ReciclaCEDAE'!$D$5:$D$2000))</f>
        <v>0</v>
      </c>
      <c r="F80" s="29"/>
      <c r="G80" s="27"/>
      <c r="H80" s="20"/>
      <c r="I80" s="28" t="str">
        <f>IF(Somatorio[[#This Row],[Somatório]]/10&gt;10,10,IF(Somatorio[[#This Row],[Somatório]]/10&gt;1, FLOOR(Somatorio[[#This Row],[Somatório]]/10,1), "0"))</f>
        <v>0</v>
      </c>
    </row>
    <row r="81" spans="1:9" ht="21" customHeight="1" x14ac:dyDescent="0.25">
      <c r="A81" s="8">
        <f>Somatorio[[#This Row],[Somatório]]</f>
        <v>5.6</v>
      </c>
      <c r="B81" s="15">
        <v>79</v>
      </c>
      <c r="C81" s="16" t="s">
        <v>96</v>
      </c>
      <c r="D81" s="16" t="s">
        <v>14</v>
      </c>
      <c r="E81" s="17">
        <f>IF(B81="","",SUMIF('[1]Pesagem ReciclaCEDAE'!$A$5:$A$2000,'[1]Cadastro &amp; Somatório'!A81,'[1]Pesagem ReciclaCEDAE'!$D$5:$D$2000))</f>
        <v>5.6</v>
      </c>
      <c r="F81" s="20"/>
      <c r="G81" s="27"/>
      <c r="H81" s="20"/>
      <c r="I81" s="21" t="str">
        <f>IF(Somatorio[[#This Row],[Somatório]]/10&gt;10,10,IF(Somatorio[[#This Row],[Somatório]]/10&gt;1, FLOOR(Somatorio[[#This Row],[Somatório]]/10,1), "0"))</f>
        <v>0</v>
      </c>
    </row>
    <row r="82" spans="1:9" ht="21" customHeight="1" x14ac:dyDescent="0.25">
      <c r="A82" s="14">
        <f>Somatorio[[#This Row],[Somatório]]</f>
        <v>133.60000000000002</v>
      </c>
      <c r="B82" s="15">
        <v>80</v>
      </c>
      <c r="C82" s="16" t="s">
        <v>97</v>
      </c>
      <c r="D82" s="16" t="s">
        <v>22</v>
      </c>
      <c r="E82" s="17">
        <f>IF(B82="","",SUMIF('[1]Pesagem ReciclaCEDAE'!$A$5:$A$2000,'[1]Cadastro &amp; Somatório'!A82,'[1]Pesagem ReciclaCEDAE'!$D$5:$D$2000))</f>
        <v>133.60000000000002</v>
      </c>
      <c r="F82" s="18" t="s">
        <v>18</v>
      </c>
      <c r="G82" s="27"/>
      <c r="H82" s="20"/>
      <c r="I82" s="21">
        <f>IF(Somatorio[[#This Row],[Somatório]]/10&gt;10,10,IF(Somatorio[[#This Row],[Somatório]]/10&gt;1, FLOOR(Somatorio[[#This Row],[Somatório]]/10,1), "0"))</f>
        <v>10</v>
      </c>
    </row>
    <row r="83" spans="1:9" ht="21" customHeight="1" x14ac:dyDescent="0.25">
      <c r="A83" s="8">
        <f>Somatorio[[#This Row],[Somatório]]</f>
        <v>162.36999999999998</v>
      </c>
      <c r="B83" s="15">
        <v>81</v>
      </c>
      <c r="C83" s="16" t="s">
        <v>98</v>
      </c>
      <c r="D83" s="16" t="s">
        <v>14</v>
      </c>
      <c r="E83" s="17">
        <f>IF(B83="","",SUMIF('[1]Pesagem ReciclaCEDAE'!$A$5:$A$2000,'[1]Cadastro &amp; Somatório'!A83,'[1]Pesagem ReciclaCEDAE'!$D$5:$D$2000))</f>
        <v>162.36999999999998</v>
      </c>
      <c r="F83" s="18" t="s">
        <v>18</v>
      </c>
      <c r="G83" s="26" t="s">
        <v>18</v>
      </c>
      <c r="H83" s="20">
        <v>5</v>
      </c>
      <c r="I83" s="21">
        <f>IF(Somatorio[[#This Row],[Somatório]]/10&gt;10,10,IF(Somatorio[[#This Row],[Somatório]]/10&gt;1, FLOOR(Somatorio[[#This Row],[Somatório]]/10,1), "0"))</f>
        <v>10</v>
      </c>
    </row>
    <row r="84" spans="1:9" ht="21" customHeight="1" x14ac:dyDescent="0.25">
      <c r="A84" s="14">
        <f>Somatorio[[#This Row],[Somatório]]</f>
        <v>3.1</v>
      </c>
      <c r="B84" s="15">
        <v>82</v>
      </c>
      <c r="C84" s="16" t="s">
        <v>99</v>
      </c>
      <c r="D84" s="16" t="s">
        <v>10</v>
      </c>
      <c r="E84" s="17">
        <f>IF(B84="","",SUMIF('[1]Pesagem ReciclaCEDAE'!$A$5:$A$2000,'[1]Cadastro &amp; Somatório'!A84,'[1]Pesagem ReciclaCEDAE'!$D$5:$D$2000))</f>
        <v>3.1</v>
      </c>
      <c r="F84" s="30"/>
      <c r="G84" s="27"/>
      <c r="H84" s="20"/>
      <c r="I84" s="21" t="str">
        <f>IF(Somatorio[[#This Row],[Somatório]]/10&gt;10,10,IF(Somatorio[[#This Row],[Somatório]]/10&gt;1, FLOOR(Somatorio[[#This Row],[Somatório]]/10,1), "0"))</f>
        <v>0</v>
      </c>
    </row>
    <row r="85" spans="1:9" ht="21" customHeight="1" x14ac:dyDescent="0.25">
      <c r="A85" s="8">
        <f>Somatorio[[#This Row],[Somatório]]</f>
        <v>0</v>
      </c>
      <c r="B85" s="15">
        <v>83</v>
      </c>
      <c r="C85" s="16" t="s">
        <v>100</v>
      </c>
      <c r="D85" s="16" t="s">
        <v>22</v>
      </c>
      <c r="E85" s="17">
        <f>IF(B85="","",SUMIF('[1]Pesagem ReciclaCEDAE'!$A$5:$A$2000,'[1]Cadastro &amp; Somatório'!A85,'[1]Pesagem ReciclaCEDAE'!$D$5:$D$2000))</f>
        <v>0</v>
      </c>
      <c r="F85" s="31"/>
      <c r="G85" s="27"/>
      <c r="H85" s="20"/>
      <c r="I85" s="28" t="str">
        <f>IF(Somatorio[[#This Row],[Somatório]]/10&gt;10,10,IF(Somatorio[[#This Row],[Somatório]]/10&gt;1, FLOOR(Somatorio[[#This Row],[Somatório]]/10,1), "0"))</f>
        <v>0</v>
      </c>
    </row>
    <row r="86" spans="1:9" ht="21" customHeight="1" x14ac:dyDescent="0.25">
      <c r="A86" s="14">
        <f>Somatorio[[#This Row],[Somatório]]</f>
        <v>0</v>
      </c>
      <c r="B86" s="15">
        <v>84</v>
      </c>
      <c r="C86" s="16" t="s">
        <v>101</v>
      </c>
      <c r="D86" s="16" t="s">
        <v>14</v>
      </c>
      <c r="E86" s="17">
        <f>IF(B86="","",SUMIF('[1]Pesagem ReciclaCEDAE'!$A$5:$A$2000,'[1]Cadastro &amp; Somatório'!A86,'[1]Pesagem ReciclaCEDAE'!$D$5:$D$2000))</f>
        <v>0</v>
      </c>
      <c r="F86" s="27"/>
      <c r="G86" s="27"/>
      <c r="H86" s="20"/>
      <c r="I86" s="28" t="str">
        <f>IF(Somatorio[[#This Row],[Somatório]]/10&gt;10,10,IF(Somatorio[[#This Row],[Somatório]]/10&gt;1, FLOOR(Somatorio[[#This Row],[Somatório]]/10,1), "0"))</f>
        <v>0</v>
      </c>
    </row>
    <row r="87" spans="1:9" ht="21" customHeight="1" x14ac:dyDescent="0.25">
      <c r="A87" s="8">
        <f>Somatorio[[#This Row],[Somatório]]</f>
        <v>2</v>
      </c>
      <c r="B87" s="15">
        <v>85</v>
      </c>
      <c r="C87" s="16" t="s">
        <v>102</v>
      </c>
      <c r="D87" s="16" t="s">
        <v>16</v>
      </c>
      <c r="E87" s="17">
        <f>IF(B87="","",SUMIF('[1]Pesagem ReciclaCEDAE'!$A$5:$A$2000,'[1]Cadastro &amp; Somatório'!A87,'[1]Pesagem ReciclaCEDAE'!$D$5:$D$2000))</f>
        <v>2</v>
      </c>
      <c r="F87" s="20"/>
      <c r="G87" s="27"/>
      <c r="H87" s="20"/>
      <c r="I87" s="21" t="str">
        <f>IF(Somatorio[[#This Row],[Somatório]]/10&gt;10,10,IF(Somatorio[[#This Row],[Somatório]]/10&gt;1, FLOOR(Somatorio[[#This Row],[Somatório]]/10,1), "0"))</f>
        <v>0</v>
      </c>
    </row>
    <row r="88" spans="1:9" ht="21" customHeight="1" x14ac:dyDescent="0.25">
      <c r="A88" s="14">
        <f>Somatorio[[#This Row],[Somatório]]</f>
        <v>61.400000000000006</v>
      </c>
      <c r="B88" s="15">
        <v>86</v>
      </c>
      <c r="C88" s="16" t="s">
        <v>103</v>
      </c>
      <c r="D88" s="16" t="s">
        <v>33</v>
      </c>
      <c r="E88" s="17">
        <f>IF(B88="","",SUMIF('[1]Pesagem ReciclaCEDAE'!$A$5:$A$2000,'[1]Cadastro &amp; Somatório'!A88,'[1]Pesagem ReciclaCEDAE'!$D$5:$D$2000))</f>
        <v>61.400000000000006</v>
      </c>
      <c r="F88" s="18" t="s">
        <v>12</v>
      </c>
      <c r="G88" s="27"/>
      <c r="H88" s="20"/>
      <c r="I88" s="21">
        <f>IF(Somatorio[[#This Row],[Somatório]]/10&gt;10,10,IF(Somatorio[[#This Row],[Somatório]]/10&gt;1, FLOOR(Somatorio[[#This Row],[Somatório]]/10,1), "0"))</f>
        <v>6</v>
      </c>
    </row>
    <row r="89" spans="1:9" ht="21" customHeight="1" x14ac:dyDescent="0.25">
      <c r="A89" s="8">
        <f>Somatorio[[#This Row],[Somatório]]</f>
        <v>41.4</v>
      </c>
      <c r="B89" s="15">
        <v>87</v>
      </c>
      <c r="C89" s="16" t="s">
        <v>104</v>
      </c>
      <c r="D89" s="16" t="s">
        <v>16</v>
      </c>
      <c r="E89" s="17">
        <f>IF(B89="","",SUMIF('[1]Pesagem ReciclaCEDAE'!$A$5:$A$2000,'[1]Cadastro &amp; Somatório'!A89,'[1]Pesagem ReciclaCEDAE'!$D$5:$D$2000))</f>
        <v>41.4</v>
      </c>
      <c r="F89" s="32" t="s">
        <v>18</v>
      </c>
      <c r="G89" s="27"/>
      <c r="H89" s="20"/>
      <c r="I89" s="21">
        <f>IF(Somatorio[[#This Row],[Somatório]]/10&gt;10,10,IF(Somatorio[[#This Row],[Somatório]]/10&gt;1, FLOOR(Somatorio[[#This Row],[Somatório]]/10,1), "0"))</f>
        <v>4</v>
      </c>
    </row>
    <row r="90" spans="1:9" ht="21" customHeight="1" x14ac:dyDescent="0.25">
      <c r="A90" s="14">
        <f>Somatorio[[#This Row],[Somatório]]</f>
        <v>157.63</v>
      </c>
      <c r="B90" s="15">
        <v>88</v>
      </c>
      <c r="C90" s="16" t="s">
        <v>105</v>
      </c>
      <c r="D90" s="16" t="s">
        <v>10</v>
      </c>
      <c r="E90" s="17">
        <f>IF(B90="","",SUMIF('[1]Pesagem ReciclaCEDAE'!$A$5:$A$2000,'[1]Cadastro &amp; Somatório'!A90,'[1]Pesagem ReciclaCEDAE'!$D$5:$D$2000))</f>
        <v>157.63</v>
      </c>
      <c r="F90" s="18" t="s">
        <v>18</v>
      </c>
      <c r="G90" s="27"/>
      <c r="H90" s="20"/>
      <c r="I90" s="21">
        <f>IF(Somatorio[[#This Row],[Somatório]]/10&gt;10,10,IF(Somatorio[[#This Row],[Somatório]]/10&gt;1, FLOOR(Somatorio[[#This Row],[Somatório]]/10,1), "0"))</f>
        <v>10</v>
      </c>
    </row>
    <row r="91" spans="1:9" ht="21" customHeight="1" x14ac:dyDescent="0.25">
      <c r="A91" s="8">
        <f>Somatorio[[#This Row],[Somatório]]</f>
        <v>0</v>
      </c>
      <c r="B91" s="15">
        <v>89</v>
      </c>
      <c r="C91" s="16" t="s">
        <v>106</v>
      </c>
      <c r="D91" s="16" t="s">
        <v>10</v>
      </c>
      <c r="E91" s="17">
        <f>IF(B91="","",SUMIF('[1]Pesagem ReciclaCEDAE'!$A$5:$A$2000,'[1]Cadastro &amp; Somatório'!A91,'[1]Pesagem ReciclaCEDAE'!$D$5:$D$2000))</f>
        <v>0</v>
      </c>
      <c r="F91" s="27"/>
      <c r="G91" s="27"/>
      <c r="H91" s="20"/>
      <c r="I91" s="28" t="str">
        <f>IF(Somatorio[[#This Row],[Somatório]]/10&gt;10,10,IF(Somatorio[[#This Row],[Somatório]]/10&gt;1, FLOOR(Somatorio[[#This Row],[Somatório]]/10,1), "0"))</f>
        <v>0</v>
      </c>
    </row>
    <row r="92" spans="1:9" ht="21" customHeight="1" x14ac:dyDescent="0.25">
      <c r="A92" s="14">
        <f>Somatorio[[#This Row],[Somatório]]</f>
        <v>0</v>
      </c>
      <c r="B92" s="15">
        <v>90</v>
      </c>
      <c r="C92" s="16" t="s">
        <v>107</v>
      </c>
      <c r="D92" s="16" t="s">
        <v>14</v>
      </c>
      <c r="E92" s="17">
        <f>IF(B92="","",SUMIF('[1]Pesagem ReciclaCEDAE'!$A$5:$A$2000,'[1]Cadastro &amp; Somatório'!A92,'[1]Pesagem ReciclaCEDAE'!$D$5:$D$2000))</f>
        <v>0</v>
      </c>
      <c r="F92" s="27"/>
      <c r="G92" s="27"/>
      <c r="H92" s="20"/>
      <c r="I92" s="28" t="str">
        <f>IF(Somatorio[[#This Row],[Somatório]]/10&gt;10,10,IF(Somatorio[[#This Row],[Somatório]]/10&gt;1, FLOOR(Somatorio[[#This Row],[Somatório]]/10,1), "0"))</f>
        <v>0</v>
      </c>
    </row>
    <row r="93" spans="1:9" ht="21" customHeight="1" x14ac:dyDescent="0.25">
      <c r="A93" s="8">
        <f>Somatorio[[#This Row],[Somatório]]</f>
        <v>0</v>
      </c>
      <c r="B93" s="15">
        <v>91</v>
      </c>
      <c r="C93" s="16" t="s">
        <v>108</v>
      </c>
      <c r="D93" s="16" t="s">
        <v>14</v>
      </c>
      <c r="E93" s="17">
        <f>IF(B93="","",SUMIF('[1]Pesagem ReciclaCEDAE'!$A$5:$A$2000,'[1]Cadastro &amp; Somatório'!A93,'[1]Pesagem ReciclaCEDAE'!$D$5:$D$2000))</f>
        <v>0</v>
      </c>
      <c r="F93" s="27"/>
      <c r="G93" s="27"/>
      <c r="H93" s="20"/>
      <c r="I93" s="28" t="str">
        <f>IF(Somatorio[[#This Row],[Somatório]]/10&gt;10,10,IF(Somatorio[[#This Row],[Somatório]]/10&gt;1, FLOOR(Somatorio[[#This Row],[Somatório]]/10,1), "0"))</f>
        <v>0</v>
      </c>
    </row>
    <row r="94" spans="1:9" ht="21" customHeight="1" x14ac:dyDescent="0.25">
      <c r="A94" s="14">
        <f>Somatorio[[#This Row],[Somatório]]</f>
        <v>58.7</v>
      </c>
      <c r="B94" s="15">
        <v>92</v>
      </c>
      <c r="C94" s="16" t="s">
        <v>109</v>
      </c>
      <c r="D94" s="16" t="s">
        <v>16</v>
      </c>
      <c r="E94" s="17">
        <f>IF(B94="","",SUMIF('[1]Pesagem ReciclaCEDAE'!$A$5:$A$2000,'[1]Cadastro &amp; Somatório'!A94,'[1]Pesagem ReciclaCEDAE'!$D$5:$D$2000))</f>
        <v>58.7</v>
      </c>
      <c r="F94" s="18" t="s">
        <v>18</v>
      </c>
      <c r="G94" s="27"/>
      <c r="H94" s="20">
        <v>1</v>
      </c>
      <c r="I94" s="21">
        <f>IF(Somatorio[[#This Row],[Somatório]]/10&gt;10,10,IF(Somatorio[[#This Row],[Somatório]]/10&gt;1, FLOOR(Somatorio[[#This Row],[Somatório]]/10,1), "0"))</f>
        <v>5</v>
      </c>
    </row>
    <row r="95" spans="1:9" ht="21" customHeight="1" x14ac:dyDescent="0.25">
      <c r="A95" s="8">
        <f>Somatorio[[#This Row],[Somatório]]</f>
        <v>99.6</v>
      </c>
      <c r="B95" s="15">
        <v>93</v>
      </c>
      <c r="C95" s="16" t="s">
        <v>110</v>
      </c>
      <c r="D95" s="16" t="s">
        <v>22</v>
      </c>
      <c r="E95" s="17">
        <f>IF(B95="","",SUMIF('[1]Pesagem ReciclaCEDAE'!$A$5:$A$2000,'[1]Cadastro &amp; Somatório'!A95,'[1]Pesagem ReciclaCEDAE'!$D$5:$D$2000))</f>
        <v>99.6</v>
      </c>
      <c r="F95" s="32" t="s">
        <v>18</v>
      </c>
      <c r="G95" s="27"/>
      <c r="H95" s="20"/>
      <c r="I95" s="21">
        <f>IF(Somatorio[[#This Row],[Somatório]]/10&gt;10,10,IF(Somatorio[[#This Row],[Somatório]]/10&gt;1, FLOOR(Somatorio[[#This Row],[Somatório]]/10,1), "0"))</f>
        <v>9</v>
      </c>
    </row>
    <row r="96" spans="1:9" ht="21" customHeight="1" x14ac:dyDescent="0.25">
      <c r="A96" s="14">
        <f>Somatorio[[#This Row],[Somatório]]</f>
        <v>0</v>
      </c>
      <c r="B96" s="15">
        <v>94</v>
      </c>
      <c r="C96" s="16" t="s">
        <v>111</v>
      </c>
      <c r="D96" s="16" t="s">
        <v>48</v>
      </c>
      <c r="E96" s="17">
        <f>IF(B96="","",SUMIF('[1]Pesagem ReciclaCEDAE'!$A$5:$A$2000,'[1]Cadastro &amp; Somatório'!A96,'[1]Pesagem ReciclaCEDAE'!$D$5:$D$2000))</f>
        <v>0</v>
      </c>
      <c r="F96" s="27"/>
      <c r="G96" s="27"/>
      <c r="H96" s="20"/>
      <c r="I96" s="28" t="str">
        <f>IF(Somatorio[[#This Row],[Somatório]]/10&gt;10,10,IF(Somatorio[[#This Row],[Somatório]]/10&gt;1, FLOOR(Somatorio[[#This Row],[Somatório]]/10,1), "0"))</f>
        <v>0</v>
      </c>
    </row>
    <row r="97" spans="1:9" ht="21" customHeight="1" x14ac:dyDescent="0.25">
      <c r="A97" s="8">
        <f>Somatorio[[#This Row],[Somatório]]</f>
        <v>0</v>
      </c>
      <c r="B97" s="15">
        <v>95</v>
      </c>
      <c r="C97" s="16" t="s">
        <v>112</v>
      </c>
      <c r="D97" s="16" t="s">
        <v>48</v>
      </c>
      <c r="E97" s="17">
        <f>IF(B97="","",SUMIF('[1]Pesagem ReciclaCEDAE'!$A$5:$A$2000,'[1]Cadastro &amp; Somatório'!A97,'[1]Pesagem ReciclaCEDAE'!$D$5:$D$2000))</f>
        <v>0</v>
      </c>
      <c r="F97" s="27"/>
      <c r="G97" s="27"/>
      <c r="H97" s="20"/>
      <c r="I97" s="28" t="str">
        <f>IF(Somatorio[[#This Row],[Somatório]]/10&gt;10,10,IF(Somatorio[[#This Row],[Somatório]]/10&gt;1, FLOOR(Somatorio[[#This Row],[Somatório]]/10,1), "0"))</f>
        <v>0</v>
      </c>
    </row>
    <row r="98" spans="1:9" ht="21" customHeight="1" x14ac:dyDescent="0.25">
      <c r="A98" s="14">
        <f>Somatorio[[#This Row],[Somatório]]</f>
        <v>0</v>
      </c>
      <c r="B98" s="15">
        <v>96</v>
      </c>
      <c r="C98" s="16" t="s">
        <v>113</v>
      </c>
      <c r="D98" s="16" t="s">
        <v>48</v>
      </c>
      <c r="E98" s="17">
        <f>IF(B98="","",SUMIF('[1]Pesagem ReciclaCEDAE'!$A$5:$A$2000,'[1]Cadastro &amp; Somatório'!A98,'[1]Pesagem ReciclaCEDAE'!$D$5:$D$2000))</f>
        <v>0</v>
      </c>
      <c r="F98" s="27"/>
      <c r="G98" s="27"/>
      <c r="H98" s="20"/>
      <c r="I98" s="28" t="str">
        <f>IF(Somatorio[[#This Row],[Somatório]]/10&gt;10,10,IF(Somatorio[[#This Row],[Somatório]]/10&gt;1, FLOOR(Somatorio[[#This Row],[Somatório]]/10,1), "0"))</f>
        <v>0</v>
      </c>
    </row>
    <row r="99" spans="1:9" ht="21" customHeight="1" x14ac:dyDescent="0.25">
      <c r="A99" s="8">
        <f>Somatorio[[#This Row],[Somatório]]</f>
        <v>10.199999999999999</v>
      </c>
      <c r="B99" s="15">
        <v>97</v>
      </c>
      <c r="C99" s="16" t="s">
        <v>114</v>
      </c>
      <c r="D99" s="16" t="s">
        <v>10</v>
      </c>
      <c r="E99" s="17">
        <f>IF(B99="","",SUMIF('[1]Pesagem ReciclaCEDAE'!$A$5:$A$2000,'[1]Cadastro &amp; Somatório'!A99,'[1]Pesagem ReciclaCEDAE'!$D$5:$D$2000))</f>
        <v>10.199999999999999</v>
      </c>
      <c r="F99" s="20"/>
      <c r="G99" s="27"/>
      <c r="H99" s="20"/>
      <c r="I99" s="21">
        <f>IF(Somatorio[[#This Row],[Somatório]]/10&gt;10,10,IF(Somatorio[[#This Row],[Somatório]]/10&gt;1, FLOOR(Somatorio[[#This Row],[Somatório]]/10,1), "0"))</f>
        <v>1</v>
      </c>
    </row>
    <row r="100" spans="1:9" ht="21" customHeight="1" x14ac:dyDescent="0.25">
      <c r="A100" s="14">
        <f>Somatorio[[#This Row],[Somatório]]</f>
        <v>0</v>
      </c>
      <c r="B100" s="15">
        <v>98</v>
      </c>
      <c r="C100" s="16" t="s">
        <v>115</v>
      </c>
      <c r="D100" s="16" t="s">
        <v>14</v>
      </c>
      <c r="E100" s="17">
        <f>IF(B100="","",SUMIF('[1]Pesagem ReciclaCEDAE'!$A$5:$A$2000,'[1]Cadastro &amp; Somatório'!A100,'[1]Pesagem ReciclaCEDAE'!$D$5:$D$2000))</f>
        <v>0</v>
      </c>
      <c r="F100" s="27"/>
      <c r="G100" s="27"/>
      <c r="H100" s="20"/>
      <c r="I100" s="28" t="str">
        <f>IF(Somatorio[[#This Row],[Somatório]]/10&gt;10,10,IF(Somatorio[[#This Row],[Somatório]]/10&gt;1, FLOOR(Somatorio[[#This Row],[Somatório]]/10,1), "0"))</f>
        <v>0</v>
      </c>
    </row>
    <row r="101" spans="1:9" ht="21" customHeight="1" x14ac:dyDescent="0.25">
      <c r="A101" s="8">
        <f>Somatorio[[#This Row],[Somatório]]</f>
        <v>131.10000000000002</v>
      </c>
      <c r="B101" s="15">
        <v>99</v>
      </c>
      <c r="C101" s="16" t="s">
        <v>116</v>
      </c>
      <c r="D101" s="16" t="s">
        <v>16</v>
      </c>
      <c r="E101" s="25">
        <f>IF(B101="","",SUMIF('[1]Pesagem ReciclaCEDAE'!$A$5:$A$2000,'[1]Cadastro &amp; Somatório'!A101,'[1]Pesagem ReciclaCEDAE'!$D$5:$D$2000))</f>
        <v>131.10000000000002</v>
      </c>
      <c r="F101" s="32" t="s">
        <v>18</v>
      </c>
      <c r="G101" s="26" t="s">
        <v>18</v>
      </c>
      <c r="H101" s="20"/>
      <c r="I101" s="21">
        <f>IF(Somatorio[[#This Row],[Somatório]]/10&gt;10,10,IF(Somatorio[[#This Row],[Somatório]]/10&gt;1, FLOOR(Somatorio[[#This Row],[Somatório]]/10,1), "0"))</f>
        <v>10</v>
      </c>
    </row>
    <row r="102" spans="1:9" ht="21" customHeight="1" x14ac:dyDescent="0.25">
      <c r="A102" s="14">
        <f>Somatorio[[#This Row],[Somatório]]</f>
        <v>435.09999999999997</v>
      </c>
      <c r="B102" s="15">
        <v>100</v>
      </c>
      <c r="C102" s="16" t="s">
        <v>117</v>
      </c>
      <c r="D102" s="16" t="s">
        <v>16</v>
      </c>
      <c r="E102" s="17">
        <f>IF(B102="","",SUMIF('[1]Pesagem ReciclaCEDAE'!$A$5:$A$2000,'[1]Cadastro &amp; Somatório'!A102,'[1]Pesagem ReciclaCEDAE'!$D$5:$D$2000))</f>
        <v>435.09999999999997</v>
      </c>
      <c r="F102" s="32" t="s">
        <v>18</v>
      </c>
      <c r="G102" s="26" t="s">
        <v>18</v>
      </c>
      <c r="H102" s="20">
        <v>3</v>
      </c>
      <c r="I102" s="21">
        <f>IF(Somatorio[[#This Row],[Somatório]]/10&gt;10,10,IF(Somatorio[[#This Row],[Somatório]]/10&gt;1, FLOOR(Somatorio[[#This Row],[Somatório]]/10,1), "0"))</f>
        <v>10</v>
      </c>
    </row>
    <row r="103" spans="1:9" ht="21" customHeight="1" x14ac:dyDescent="0.25">
      <c r="A103" s="8">
        <f>Somatorio[[#This Row],[Somatório]]</f>
        <v>0</v>
      </c>
      <c r="B103" s="15">
        <v>101</v>
      </c>
      <c r="C103" s="16" t="s">
        <v>118</v>
      </c>
      <c r="D103" s="16" t="s">
        <v>10</v>
      </c>
      <c r="E103" s="17">
        <f>IF(B103="","",SUMIF('[1]Pesagem ReciclaCEDAE'!$A$5:$A$2000,'[1]Cadastro &amp; Somatório'!A103,'[1]Pesagem ReciclaCEDAE'!$D$5:$D$2000))</f>
        <v>0</v>
      </c>
      <c r="F103" s="27"/>
      <c r="G103" s="27"/>
      <c r="H103" s="20"/>
      <c r="I103" s="28" t="str">
        <f>IF(Somatorio[[#This Row],[Somatório]]/10&gt;10,10,IF(Somatorio[[#This Row],[Somatório]]/10&gt;1, FLOOR(Somatorio[[#This Row],[Somatório]]/10,1), "0"))</f>
        <v>0</v>
      </c>
    </row>
    <row r="104" spans="1:9" ht="21" customHeight="1" x14ac:dyDescent="0.25">
      <c r="A104" s="14">
        <f>Somatorio[[#This Row],[Somatório]]</f>
        <v>42.300000000000004</v>
      </c>
      <c r="B104" s="15">
        <v>102</v>
      </c>
      <c r="C104" s="16" t="s">
        <v>119</v>
      </c>
      <c r="D104" s="16" t="s">
        <v>10</v>
      </c>
      <c r="E104" s="17">
        <f>IF(B104="","",SUMIF('[1]Pesagem ReciclaCEDAE'!$A$5:$A$2000,'[1]Cadastro &amp; Somatório'!A104,'[1]Pesagem ReciclaCEDAE'!$D$5:$D$2000))</f>
        <v>42.300000000000004</v>
      </c>
      <c r="F104" s="20"/>
      <c r="G104" s="27"/>
      <c r="H104" s="20"/>
      <c r="I104" s="21">
        <f>IF(Somatorio[[#This Row],[Somatório]]/10&gt;10,10,IF(Somatorio[[#This Row],[Somatório]]/10&gt;1, FLOOR(Somatorio[[#This Row],[Somatório]]/10,1), "0"))</f>
        <v>4</v>
      </c>
    </row>
    <row r="105" spans="1:9" ht="21" customHeight="1" x14ac:dyDescent="0.25">
      <c r="A105" s="8">
        <f>Somatorio[[#This Row],[Somatório]]</f>
        <v>0</v>
      </c>
      <c r="B105" s="15">
        <v>103</v>
      </c>
      <c r="C105" s="16" t="s">
        <v>120</v>
      </c>
      <c r="D105" s="16" t="s">
        <v>10</v>
      </c>
      <c r="E105" s="17">
        <f>IF(B105="","",SUMIF('[1]Pesagem ReciclaCEDAE'!$A$5:$A$2000,'[1]Cadastro &amp; Somatório'!A105,'[1]Pesagem ReciclaCEDAE'!$D$5:$D$2000))</f>
        <v>0</v>
      </c>
      <c r="F105" s="27"/>
      <c r="G105" s="27"/>
      <c r="H105" s="20"/>
      <c r="I105" s="28" t="str">
        <f>IF(Somatorio[[#This Row],[Somatório]]/10&gt;10,10,IF(Somatorio[[#This Row],[Somatório]]/10&gt;1, FLOOR(Somatorio[[#This Row],[Somatório]]/10,1), "0"))</f>
        <v>0</v>
      </c>
    </row>
    <row r="106" spans="1:9" ht="21" customHeight="1" x14ac:dyDescent="0.25">
      <c r="A106" s="14">
        <f>Somatorio[[#This Row],[Somatório]]</f>
        <v>0</v>
      </c>
      <c r="B106" s="15">
        <v>104</v>
      </c>
      <c r="C106" s="16" t="s">
        <v>121</v>
      </c>
      <c r="D106" s="16" t="s">
        <v>14</v>
      </c>
      <c r="E106" s="17">
        <f>IF(B106="","",SUMIF('[1]Pesagem ReciclaCEDAE'!$A$5:$A$2000,'[1]Cadastro &amp; Somatório'!A106,'[1]Pesagem ReciclaCEDAE'!$D$5:$D$2000))</f>
        <v>0</v>
      </c>
      <c r="F106" s="27"/>
      <c r="G106" s="27"/>
      <c r="H106" s="20"/>
      <c r="I106" s="28" t="str">
        <f>IF(Somatorio[[#This Row],[Somatório]]/10&gt;10,10,IF(Somatorio[[#This Row],[Somatório]]/10&gt;1, FLOOR(Somatorio[[#This Row],[Somatório]]/10,1), "0"))</f>
        <v>0</v>
      </c>
    </row>
    <row r="107" spans="1:9" ht="21" customHeight="1" x14ac:dyDescent="0.25">
      <c r="A107" s="8">
        <f>Somatorio[[#This Row],[Somatório]]</f>
        <v>0</v>
      </c>
      <c r="B107" s="15">
        <v>105</v>
      </c>
      <c r="C107" s="16" t="s">
        <v>122</v>
      </c>
      <c r="D107" s="16" t="s">
        <v>16</v>
      </c>
      <c r="E107" s="17">
        <f>IF(B107="","",SUMIF('[1]Pesagem ReciclaCEDAE'!$A$5:$A$2000,'[1]Cadastro &amp; Somatório'!A107,'[1]Pesagem ReciclaCEDAE'!$D$5:$D$2000))</f>
        <v>0</v>
      </c>
      <c r="F107" s="27"/>
      <c r="G107" s="27"/>
      <c r="H107" s="20"/>
      <c r="I107" s="28" t="str">
        <f>IF(Somatorio[[#This Row],[Somatório]]/10&gt;10,10,IF(Somatorio[[#This Row],[Somatório]]/10&gt;1, FLOOR(Somatorio[[#This Row],[Somatório]]/10,1), "0"))</f>
        <v>0</v>
      </c>
    </row>
    <row r="108" spans="1:9" ht="21" customHeight="1" x14ac:dyDescent="0.25">
      <c r="A108" s="14">
        <f>Somatorio[[#This Row],[Somatório]]</f>
        <v>37.200000000000003</v>
      </c>
      <c r="B108" s="15">
        <v>106</v>
      </c>
      <c r="C108" s="16" t="s">
        <v>123</v>
      </c>
      <c r="D108" s="16" t="s">
        <v>16</v>
      </c>
      <c r="E108" s="17">
        <f>IF(B108="","",SUMIF('[1]Pesagem ReciclaCEDAE'!$A$5:$A$2000,'[1]Cadastro &amp; Somatório'!A108,'[1]Pesagem ReciclaCEDAE'!$D$5:$D$2000))</f>
        <v>37.200000000000003</v>
      </c>
      <c r="F108" s="20"/>
      <c r="G108" s="27"/>
      <c r="H108" s="20"/>
      <c r="I108" s="21">
        <f>IF(Somatorio[[#This Row],[Somatório]]/10&gt;10,10,IF(Somatorio[[#This Row],[Somatório]]/10&gt;1, FLOOR(Somatorio[[#This Row],[Somatório]]/10,1), "0"))</f>
        <v>3</v>
      </c>
    </row>
    <row r="109" spans="1:9" ht="21" customHeight="1" x14ac:dyDescent="0.25">
      <c r="A109" s="8">
        <f>Somatorio[[#This Row],[Somatório]]</f>
        <v>225.3</v>
      </c>
      <c r="B109" s="15">
        <v>107</v>
      </c>
      <c r="C109" s="16" t="s">
        <v>124</v>
      </c>
      <c r="D109" s="16" t="s">
        <v>16</v>
      </c>
      <c r="E109" s="25">
        <f>IF(B109="","",SUMIF('[1]Pesagem ReciclaCEDAE'!$A$5:$A$2000,'[1]Cadastro &amp; Somatório'!A109,'[1]Pesagem ReciclaCEDAE'!$D$5:$D$2000))</f>
        <v>225.3</v>
      </c>
      <c r="F109" s="32" t="s">
        <v>18</v>
      </c>
      <c r="G109" s="26" t="s">
        <v>18</v>
      </c>
      <c r="H109" s="20"/>
      <c r="I109" s="21">
        <f>IF(Somatorio[[#This Row],[Somatório]]/10&gt;10,10,IF(Somatorio[[#This Row],[Somatório]]/10&gt;1, FLOOR(Somatorio[[#This Row],[Somatório]]/10,1), "0"))</f>
        <v>10</v>
      </c>
    </row>
    <row r="110" spans="1:9" ht="21" customHeight="1" x14ac:dyDescent="0.25">
      <c r="A110" s="14">
        <f>Somatorio[[#This Row],[Somatório]]</f>
        <v>6.3000000000000007</v>
      </c>
      <c r="B110" s="15">
        <v>108</v>
      </c>
      <c r="C110" s="16" t="s">
        <v>125</v>
      </c>
      <c r="D110" s="16" t="s">
        <v>10</v>
      </c>
      <c r="E110" s="17">
        <f>IF(B110="","",SUMIF('[1]Pesagem ReciclaCEDAE'!$A$5:$A$2000,'[1]Cadastro &amp; Somatório'!A110,'[1]Pesagem ReciclaCEDAE'!$D$5:$D$2000))</f>
        <v>6.3000000000000007</v>
      </c>
      <c r="F110" s="20"/>
      <c r="G110" s="27"/>
      <c r="H110" s="20"/>
      <c r="I110" s="21" t="str">
        <f>IF(Somatorio[[#This Row],[Somatório]]/10&gt;10,10,IF(Somatorio[[#This Row],[Somatório]]/10&gt;1, FLOOR(Somatorio[[#This Row],[Somatório]]/10,1), "0"))</f>
        <v>0</v>
      </c>
    </row>
    <row r="111" spans="1:9" ht="21" customHeight="1" x14ac:dyDescent="0.25">
      <c r="A111" s="8">
        <f>Somatorio[[#This Row],[Somatório]]</f>
        <v>114.49999999999999</v>
      </c>
      <c r="B111" s="15">
        <v>109</v>
      </c>
      <c r="C111" s="16" t="s">
        <v>126</v>
      </c>
      <c r="D111" s="16" t="s">
        <v>10</v>
      </c>
      <c r="E111" s="17">
        <f>IF(B111="","",SUMIF('[1]Pesagem ReciclaCEDAE'!$A$5:$A$2000,'[1]Cadastro &amp; Somatório'!A111,'[1]Pesagem ReciclaCEDAE'!$D$5:$D$2000))</f>
        <v>114.49999999999999</v>
      </c>
      <c r="F111" s="32" t="s">
        <v>18</v>
      </c>
      <c r="G111" s="27"/>
      <c r="H111" s="20">
        <v>2</v>
      </c>
      <c r="I111" s="21">
        <f>IF(Somatorio[[#This Row],[Somatório]]/10&gt;10,10,IF(Somatorio[[#This Row],[Somatório]]/10&gt;1, FLOOR(Somatorio[[#This Row],[Somatório]]/10,1), "0"))</f>
        <v>10</v>
      </c>
    </row>
    <row r="112" spans="1:9" ht="21" customHeight="1" x14ac:dyDescent="0.25">
      <c r="A112" s="14">
        <f>Somatorio[[#This Row],[Somatório]]</f>
        <v>1.8</v>
      </c>
      <c r="B112" s="15">
        <v>110</v>
      </c>
      <c r="C112" s="16" t="s">
        <v>127</v>
      </c>
      <c r="D112" s="16" t="s">
        <v>10</v>
      </c>
      <c r="E112" s="17">
        <f>IF(B112="","",SUMIF('[1]Pesagem ReciclaCEDAE'!$A$5:$A$2000,'[1]Cadastro &amp; Somatório'!A112,'[1]Pesagem ReciclaCEDAE'!$D$5:$D$2000))</f>
        <v>1.8</v>
      </c>
      <c r="F112" s="20"/>
      <c r="G112" s="27"/>
      <c r="H112" s="20"/>
      <c r="I112" s="21" t="str">
        <f>IF(Somatorio[[#This Row],[Somatório]]/10&gt;10,10,IF(Somatorio[[#This Row],[Somatório]]/10&gt;1, FLOOR(Somatorio[[#This Row],[Somatório]]/10,1), "0"))</f>
        <v>0</v>
      </c>
    </row>
    <row r="113" spans="1:9" ht="21" customHeight="1" x14ac:dyDescent="0.25">
      <c r="A113" s="8">
        <f>Somatorio[[#This Row],[Somatório]]</f>
        <v>0</v>
      </c>
      <c r="B113" s="15">
        <v>111</v>
      </c>
      <c r="C113" s="16" t="s">
        <v>128</v>
      </c>
      <c r="D113" s="16" t="s">
        <v>10</v>
      </c>
      <c r="E113" s="17">
        <f>IF(B113="","",SUMIF('[1]Pesagem ReciclaCEDAE'!$A$5:$A$2000,'[1]Cadastro &amp; Somatório'!A113,'[1]Pesagem ReciclaCEDAE'!$D$5:$D$2000))</f>
        <v>0</v>
      </c>
      <c r="F113" s="27"/>
      <c r="G113" s="27"/>
      <c r="H113" s="20"/>
      <c r="I113" s="28" t="str">
        <f>IF(Somatorio[[#This Row],[Somatório]]/10&gt;10,10,IF(Somatorio[[#This Row],[Somatório]]/10&gt;1, FLOOR(Somatorio[[#This Row],[Somatório]]/10,1), "0"))</f>
        <v>0</v>
      </c>
    </row>
    <row r="114" spans="1:9" ht="21" customHeight="1" x14ac:dyDescent="0.25">
      <c r="A114" s="14">
        <f>Somatorio[[#This Row],[Somatório]]</f>
        <v>314.91000000000008</v>
      </c>
      <c r="B114" s="15">
        <v>112</v>
      </c>
      <c r="C114" s="16" t="s">
        <v>129</v>
      </c>
      <c r="D114" s="16" t="s">
        <v>10</v>
      </c>
      <c r="E114" s="25">
        <f>IF(B114="","",SUMIF('[1]Pesagem ReciclaCEDAE'!$A$5:$A$2000,'[1]Cadastro &amp; Somatório'!A114,'[1]Pesagem ReciclaCEDAE'!$D$5:$D$2000))</f>
        <v>314.91000000000008</v>
      </c>
      <c r="F114" s="32" t="s">
        <v>18</v>
      </c>
      <c r="G114" s="26" t="s">
        <v>18</v>
      </c>
      <c r="H114" s="20">
        <v>5</v>
      </c>
      <c r="I114" s="21">
        <f>IF(Somatorio[[#This Row],[Somatório]]/10&gt;10,10,IF(Somatorio[[#This Row],[Somatório]]/10&gt;1, FLOOR(Somatorio[[#This Row],[Somatório]]/10,1), "0"))</f>
        <v>10</v>
      </c>
    </row>
    <row r="115" spans="1:9" ht="21" customHeight="1" x14ac:dyDescent="0.25">
      <c r="A115" s="8">
        <f>Somatorio[[#This Row],[Somatório]]</f>
        <v>101.10000000000002</v>
      </c>
      <c r="B115" s="15">
        <v>113</v>
      </c>
      <c r="C115" s="16" t="s">
        <v>130</v>
      </c>
      <c r="D115" s="16" t="s">
        <v>16</v>
      </c>
      <c r="E115" s="17">
        <f>IF(B115="","",SUMIF('[1]Pesagem ReciclaCEDAE'!$A$5:$A$2000,'[1]Cadastro &amp; Somatório'!A115,'[1]Pesagem ReciclaCEDAE'!$D$5:$D$2000))</f>
        <v>101.10000000000002</v>
      </c>
      <c r="F115" s="18" t="s">
        <v>18</v>
      </c>
      <c r="G115" s="26" t="s">
        <v>18</v>
      </c>
      <c r="H115" s="20"/>
      <c r="I115" s="21">
        <f>IF(Somatorio[[#This Row],[Somatório]]/10&gt;10,10,IF(Somatorio[[#This Row],[Somatório]]/10&gt;1, FLOOR(Somatorio[[#This Row],[Somatório]]/10,1), "0"))</f>
        <v>10</v>
      </c>
    </row>
    <row r="116" spans="1:9" ht="21" customHeight="1" x14ac:dyDescent="0.25">
      <c r="A116" s="14">
        <f>Somatorio[[#This Row],[Somatório]]</f>
        <v>7.9</v>
      </c>
      <c r="B116" s="15">
        <v>114</v>
      </c>
      <c r="C116" s="16" t="s">
        <v>131</v>
      </c>
      <c r="D116" s="16" t="s">
        <v>33</v>
      </c>
      <c r="E116" s="17">
        <f>IF(B116="","",SUMIF('[1]Pesagem ReciclaCEDAE'!$A$5:$A$2000,'[1]Cadastro &amp; Somatório'!A116,'[1]Pesagem ReciclaCEDAE'!$D$5:$D$2000))</f>
        <v>7.9</v>
      </c>
      <c r="F116" s="20"/>
      <c r="G116" s="27"/>
      <c r="H116" s="20"/>
      <c r="I116" s="21" t="str">
        <f>IF(Somatorio[[#This Row],[Somatório]]/10&gt;10,10,IF(Somatorio[[#This Row],[Somatório]]/10&gt;1, FLOOR(Somatorio[[#This Row],[Somatório]]/10,1), "0"))</f>
        <v>0</v>
      </c>
    </row>
    <row r="117" spans="1:9" ht="21" customHeight="1" x14ac:dyDescent="0.25">
      <c r="A117" s="8">
        <f>Somatorio[[#This Row],[Somatório]]</f>
        <v>0</v>
      </c>
      <c r="B117" s="15">
        <v>115</v>
      </c>
      <c r="C117" s="16" t="s">
        <v>132</v>
      </c>
      <c r="D117" s="16" t="s">
        <v>10</v>
      </c>
      <c r="E117" s="17">
        <f>IF(B117="","",SUMIF('[1]Pesagem ReciclaCEDAE'!$A$5:$A$2000,'[1]Cadastro &amp; Somatório'!A117,'[1]Pesagem ReciclaCEDAE'!$D$5:$D$2000))</f>
        <v>0</v>
      </c>
      <c r="F117" s="27"/>
      <c r="G117" s="27"/>
      <c r="H117" s="20"/>
      <c r="I117" s="28" t="str">
        <f>IF(Somatorio[[#This Row],[Somatório]]/10&gt;10,10,IF(Somatorio[[#This Row],[Somatório]]/10&gt;1, FLOOR(Somatorio[[#This Row],[Somatório]]/10,1), "0"))</f>
        <v>0</v>
      </c>
    </row>
    <row r="118" spans="1:9" ht="21" customHeight="1" x14ac:dyDescent="0.25">
      <c r="A118" s="14">
        <f>Somatorio[[#This Row],[Somatório]]</f>
        <v>1909.7999999999995</v>
      </c>
      <c r="B118" s="15">
        <v>116</v>
      </c>
      <c r="C118" s="16" t="s">
        <v>133</v>
      </c>
      <c r="D118" s="16" t="s">
        <v>22</v>
      </c>
      <c r="E118" s="25">
        <f>IF(B118="","",SUMIF('[1]Pesagem ReciclaCEDAE'!$A$5:$A$2000,'[1]Cadastro &amp; Somatório'!A118,'[1]Pesagem ReciclaCEDAE'!$D$5:$D$2000))</f>
        <v>1909.7999999999995</v>
      </c>
      <c r="F118" s="32" t="s">
        <v>18</v>
      </c>
      <c r="G118" s="26" t="s">
        <v>18</v>
      </c>
      <c r="H118" s="20">
        <v>5</v>
      </c>
      <c r="I118" s="21">
        <f>IF(Somatorio[[#This Row],[Somatório]]/10&gt;10,10,IF(Somatorio[[#This Row],[Somatório]]/10&gt;1, FLOOR(Somatorio[[#This Row],[Somatório]]/10,1), "0"))</f>
        <v>10</v>
      </c>
    </row>
    <row r="119" spans="1:9" ht="21" customHeight="1" x14ac:dyDescent="0.25">
      <c r="A119" s="8">
        <f>Somatorio[[#This Row],[Somatório]]</f>
        <v>200.49999999999997</v>
      </c>
      <c r="B119" s="15">
        <v>117</v>
      </c>
      <c r="C119" s="16" t="s">
        <v>134</v>
      </c>
      <c r="D119" s="16" t="s">
        <v>16</v>
      </c>
      <c r="E119" s="25">
        <f>IF(B119="","",SUMIF('[1]Pesagem ReciclaCEDAE'!$A$5:$A$2000,'[1]Cadastro &amp; Somatório'!A119,'[1]Pesagem ReciclaCEDAE'!$D$5:$D$2000))</f>
        <v>200.49999999999997</v>
      </c>
      <c r="F119" s="32" t="s">
        <v>18</v>
      </c>
      <c r="G119" s="26" t="s">
        <v>18</v>
      </c>
      <c r="H119" s="20">
        <v>9</v>
      </c>
      <c r="I119" s="21">
        <f>IF(Somatorio[[#This Row],[Somatório]]/10&gt;10,10,IF(Somatorio[[#This Row],[Somatório]]/10&gt;1, FLOOR(Somatorio[[#This Row],[Somatório]]/10,1), "0"))</f>
        <v>10</v>
      </c>
    </row>
    <row r="120" spans="1:9" ht="21" customHeight="1" x14ac:dyDescent="0.25">
      <c r="A120" s="14">
        <f>Somatorio[[#This Row],[Somatório]]</f>
        <v>27.3</v>
      </c>
      <c r="B120" s="15">
        <v>118</v>
      </c>
      <c r="C120" s="16" t="s">
        <v>135</v>
      </c>
      <c r="D120" s="16" t="s">
        <v>14</v>
      </c>
      <c r="E120" s="17">
        <f>IF(B120="","",SUMIF('[1]Pesagem ReciclaCEDAE'!$A$5:$A$2000,'[1]Cadastro &amp; Somatório'!A120,'[1]Pesagem ReciclaCEDAE'!$D$5:$D$2000))</f>
        <v>27.3</v>
      </c>
      <c r="F120" s="20"/>
      <c r="G120" s="27"/>
      <c r="H120" s="20"/>
      <c r="I120" s="21">
        <f>IF(Somatorio[[#This Row],[Somatório]]/10&gt;10,10,IF(Somatorio[[#This Row],[Somatório]]/10&gt;1, FLOOR(Somatorio[[#This Row],[Somatório]]/10,1), "0"))</f>
        <v>2</v>
      </c>
    </row>
    <row r="121" spans="1:9" ht="21" customHeight="1" x14ac:dyDescent="0.25">
      <c r="A121" s="8">
        <f>Somatorio[[#This Row],[Somatório]]</f>
        <v>78.2</v>
      </c>
      <c r="B121" s="15">
        <v>119</v>
      </c>
      <c r="C121" s="16" t="s">
        <v>136</v>
      </c>
      <c r="D121" s="16" t="s">
        <v>14</v>
      </c>
      <c r="E121" s="25">
        <f>IF(B121="","",SUMIF('[1]Pesagem ReciclaCEDAE'!$A$5:$A$2000,'[1]Cadastro &amp; Somatório'!A121,'[1]Pesagem ReciclaCEDAE'!$D$5:$D$2000))</f>
        <v>78.2</v>
      </c>
      <c r="F121" s="32" t="s">
        <v>18</v>
      </c>
      <c r="G121" s="27"/>
      <c r="H121" s="20"/>
      <c r="I121" s="21">
        <f>IF(Somatorio[[#This Row],[Somatório]]/10&gt;10,10,IF(Somatorio[[#This Row],[Somatório]]/10&gt;1, FLOOR(Somatorio[[#This Row],[Somatório]]/10,1), "0"))</f>
        <v>7</v>
      </c>
    </row>
    <row r="122" spans="1:9" ht="21" customHeight="1" x14ac:dyDescent="0.25">
      <c r="A122" s="14">
        <f>Somatorio[[#This Row],[Somatório]]</f>
        <v>28.400000000000002</v>
      </c>
      <c r="B122" s="15">
        <v>120</v>
      </c>
      <c r="C122" s="16" t="s">
        <v>137</v>
      </c>
      <c r="D122" s="16" t="s">
        <v>14</v>
      </c>
      <c r="E122" s="17">
        <f>IF(B122="","",SUMIF('[1]Pesagem ReciclaCEDAE'!$A$5:$A$2000,'[1]Cadastro &amp; Somatório'!A122,'[1]Pesagem ReciclaCEDAE'!$D$5:$D$2000))</f>
        <v>28.400000000000002</v>
      </c>
      <c r="F122" s="20"/>
      <c r="G122" s="27"/>
      <c r="H122" s="20"/>
      <c r="I122" s="21">
        <f>IF(Somatorio[[#This Row],[Somatório]]/10&gt;10,10,IF(Somatorio[[#This Row],[Somatório]]/10&gt;1, FLOOR(Somatorio[[#This Row],[Somatório]]/10,1), "0"))</f>
        <v>2</v>
      </c>
    </row>
    <row r="123" spans="1:9" ht="21" customHeight="1" x14ac:dyDescent="0.25">
      <c r="A123" s="8">
        <f>Somatorio[[#This Row],[Somatório]]</f>
        <v>9</v>
      </c>
      <c r="B123" s="15">
        <v>121</v>
      </c>
      <c r="C123" s="16" t="s">
        <v>138</v>
      </c>
      <c r="D123" s="16" t="s">
        <v>14</v>
      </c>
      <c r="E123" s="17">
        <f>IF(B123="","",SUMIF('[1]Pesagem ReciclaCEDAE'!$A$5:$A$2000,'[1]Cadastro &amp; Somatório'!A123,'[1]Pesagem ReciclaCEDAE'!$D$5:$D$2000))</f>
        <v>9</v>
      </c>
      <c r="F123" s="20"/>
      <c r="G123" s="27"/>
      <c r="H123" s="20"/>
      <c r="I123" s="21" t="str">
        <f>IF(Somatorio[[#This Row],[Somatório]]/10&gt;10,10,IF(Somatorio[[#This Row],[Somatório]]/10&gt;1, FLOOR(Somatorio[[#This Row],[Somatório]]/10,1), "0"))</f>
        <v>0</v>
      </c>
    </row>
    <row r="124" spans="1:9" ht="21" customHeight="1" x14ac:dyDescent="0.25">
      <c r="A124" s="14">
        <f>Somatorio[[#This Row],[Somatório]]</f>
        <v>187.9</v>
      </c>
      <c r="B124" s="15">
        <v>122</v>
      </c>
      <c r="C124" s="16" t="s">
        <v>139</v>
      </c>
      <c r="D124" s="16" t="s">
        <v>10</v>
      </c>
      <c r="E124" s="17">
        <f>IF(B124="","",SUMIF('[1]Pesagem ReciclaCEDAE'!$A$5:$A$2000,'[1]Cadastro &amp; Somatório'!A124,'[1]Pesagem ReciclaCEDAE'!$D$5:$D$2000))</f>
        <v>187.9</v>
      </c>
      <c r="F124" s="18" t="s">
        <v>18</v>
      </c>
      <c r="G124" s="26" t="s">
        <v>18</v>
      </c>
      <c r="H124" s="20"/>
      <c r="I124" s="21">
        <f>IF(Somatorio[[#This Row],[Somatório]]/10&gt;10,10,IF(Somatorio[[#This Row],[Somatório]]/10&gt;1, FLOOR(Somatorio[[#This Row],[Somatório]]/10,1), "0"))</f>
        <v>10</v>
      </c>
    </row>
    <row r="125" spans="1:9" ht="21" customHeight="1" x14ac:dyDescent="0.25">
      <c r="A125" s="8">
        <f>Somatorio[[#This Row],[Somatório]]</f>
        <v>61</v>
      </c>
      <c r="B125" s="15">
        <v>123</v>
      </c>
      <c r="C125" s="16" t="s">
        <v>140</v>
      </c>
      <c r="D125" s="16" t="s">
        <v>16</v>
      </c>
      <c r="E125" s="17">
        <f>IF(B125="","",SUMIF('[1]Pesagem ReciclaCEDAE'!$A$5:$A$2000,'[1]Cadastro &amp; Somatório'!A125,'[1]Pesagem ReciclaCEDAE'!$D$5:$D$2000))</f>
        <v>61</v>
      </c>
      <c r="F125" s="18" t="s">
        <v>18</v>
      </c>
      <c r="G125" s="27"/>
      <c r="H125" s="20"/>
      <c r="I125" s="21">
        <f>IF(Somatorio[[#This Row],[Somatório]]/10&gt;10,10,IF(Somatorio[[#This Row],[Somatório]]/10&gt;1, FLOOR(Somatorio[[#This Row],[Somatório]]/10,1), "0"))</f>
        <v>6</v>
      </c>
    </row>
    <row r="126" spans="1:9" ht="21" customHeight="1" x14ac:dyDescent="0.25">
      <c r="A126" s="14">
        <f>Somatorio[[#This Row],[Somatório]]</f>
        <v>0</v>
      </c>
      <c r="B126" s="15">
        <v>124</v>
      </c>
      <c r="C126" s="16" t="s">
        <v>141</v>
      </c>
      <c r="D126" s="16" t="s">
        <v>10</v>
      </c>
      <c r="E126" s="17">
        <f>IF(B126="","",SUMIF('[1]Pesagem ReciclaCEDAE'!$A$5:$A$2000,'[1]Cadastro &amp; Somatório'!A126,'[1]Pesagem ReciclaCEDAE'!$D$5:$D$2000))</f>
        <v>0</v>
      </c>
      <c r="F126" s="27"/>
      <c r="G126" s="27"/>
      <c r="H126" s="20"/>
      <c r="I126" s="28" t="str">
        <f>IF(Somatorio[[#This Row],[Somatório]]/10&gt;10,10,IF(Somatorio[[#This Row],[Somatório]]/10&gt;1, FLOOR(Somatorio[[#This Row],[Somatório]]/10,1), "0"))</f>
        <v>0</v>
      </c>
    </row>
    <row r="127" spans="1:9" ht="21" customHeight="1" x14ac:dyDescent="0.25">
      <c r="A127" s="8">
        <f>Somatorio[[#This Row],[Somatório]]</f>
        <v>0</v>
      </c>
      <c r="B127" s="15">
        <v>125</v>
      </c>
      <c r="C127" s="16" t="s">
        <v>142</v>
      </c>
      <c r="D127" s="16" t="s">
        <v>48</v>
      </c>
      <c r="E127" s="17">
        <f>IF(B127="","",SUMIF('[1]Pesagem ReciclaCEDAE'!$A$5:$A$2000,'[1]Cadastro &amp; Somatório'!A127,'[1]Pesagem ReciclaCEDAE'!$D$5:$D$2000))</f>
        <v>0</v>
      </c>
      <c r="F127" s="27"/>
      <c r="G127" s="27"/>
      <c r="H127" s="20"/>
      <c r="I127" s="28" t="str">
        <f>IF(Somatorio[[#This Row],[Somatório]]/10&gt;10,10,IF(Somatorio[[#This Row],[Somatório]]/10&gt;1, FLOOR(Somatorio[[#This Row],[Somatório]]/10,1), "0"))</f>
        <v>0</v>
      </c>
    </row>
    <row r="128" spans="1:9" ht="21" customHeight="1" x14ac:dyDescent="0.25">
      <c r="A128" s="14">
        <f>Somatorio[[#This Row],[Somatório]]</f>
        <v>1.6</v>
      </c>
      <c r="B128" s="15">
        <v>126</v>
      </c>
      <c r="C128" s="16" t="s">
        <v>143</v>
      </c>
      <c r="D128" s="16" t="s">
        <v>14</v>
      </c>
      <c r="E128" s="17">
        <f>IF(B128="","",SUMIF('[1]Pesagem ReciclaCEDAE'!$A$5:$A$2000,'[1]Cadastro &amp; Somatório'!A128,'[1]Pesagem ReciclaCEDAE'!$D$5:$D$2000))</f>
        <v>1.6</v>
      </c>
      <c r="F128" s="20"/>
      <c r="G128" s="27"/>
      <c r="H128" s="20"/>
      <c r="I128" s="21" t="str">
        <f>IF(Somatorio[[#This Row],[Somatório]]/10&gt;10,10,IF(Somatorio[[#This Row],[Somatório]]/10&gt;1, FLOOR(Somatorio[[#This Row],[Somatório]]/10,1), "0"))</f>
        <v>0</v>
      </c>
    </row>
    <row r="129" spans="1:9" ht="21" customHeight="1" x14ac:dyDescent="0.25">
      <c r="A129" s="8">
        <f>Somatorio[[#This Row],[Somatório]]</f>
        <v>1</v>
      </c>
      <c r="B129" s="15">
        <v>127</v>
      </c>
      <c r="C129" s="16" t="s">
        <v>144</v>
      </c>
      <c r="D129" s="16" t="s">
        <v>14</v>
      </c>
      <c r="E129" s="17">
        <f>IF(B129="","",SUMIF('[1]Pesagem ReciclaCEDAE'!$A$5:$A$2000,'[1]Cadastro &amp; Somatório'!A129,'[1]Pesagem ReciclaCEDAE'!$D$5:$D$2000))</f>
        <v>1</v>
      </c>
      <c r="F129" s="27"/>
      <c r="G129" s="27"/>
      <c r="H129" s="20"/>
      <c r="I129" s="28" t="str">
        <f>IF(Somatorio[[#This Row],[Somatório]]/10&gt;10,10,IF(Somatorio[[#This Row],[Somatório]]/10&gt;1, FLOOR(Somatorio[[#This Row],[Somatório]]/10,1), "0"))</f>
        <v>0</v>
      </c>
    </row>
    <row r="130" spans="1:9" ht="21" customHeight="1" x14ac:dyDescent="0.25">
      <c r="A130" s="14">
        <f>Somatorio[[#This Row],[Somatório]]</f>
        <v>0</v>
      </c>
      <c r="B130" s="15">
        <v>128</v>
      </c>
      <c r="C130" s="16" t="s">
        <v>145</v>
      </c>
      <c r="D130" s="16" t="s">
        <v>10</v>
      </c>
      <c r="E130" s="17">
        <f>IF(B130="","",SUMIF('[1]Pesagem ReciclaCEDAE'!$A$5:$A$2000,'[1]Cadastro &amp; Somatório'!A130,'[1]Pesagem ReciclaCEDAE'!$D$5:$D$2000))</f>
        <v>0</v>
      </c>
      <c r="F130" s="27"/>
      <c r="G130" s="27"/>
      <c r="H130" s="20"/>
      <c r="I130" s="28" t="str">
        <f>IF(Somatorio[[#This Row],[Somatório]]/10&gt;10,10,IF(Somatorio[[#This Row],[Somatório]]/10&gt;1, FLOOR(Somatorio[[#This Row],[Somatório]]/10,1), "0"))</f>
        <v>0</v>
      </c>
    </row>
    <row r="131" spans="1:9" ht="21" customHeight="1" x14ac:dyDescent="0.25">
      <c r="A131" s="8">
        <f>Somatorio[[#This Row],[Somatório]]</f>
        <v>0</v>
      </c>
      <c r="B131" s="15">
        <v>129</v>
      </c>
      <c r="C131" s="16" t="s">
        <v>146</v>
      </c>
      <c r="D131" s="16" t="s">
        <v>10</v>
      </c>
      <c r="E131" s="17">
        <f>IF(B131="","",SUMIF('[1]Pesagem ReciclaCEDAE'!$A$5:$A$2000,'[1]Cadastro &amp; Somatório'!A131,'[1]Pesagem ReciclaCEDAE'!$D$5:$D$2000))</f>
        <v>0</v>
      </c>
      <c r="F131" s="27"/>
      <c r="G131" s="27"/>
      <c r="H131" s="20"/>
      <c r="I131" s="28" t="str">
        <f>IF(Somatorio[[#This Row],[Somatório]]/10&gt;10,10,IF(Somatorio[[#This Row],[Somatório]]/10&gt;1, FLOOR(Somatorio[[#This Row],[Somatório]]/10,1), "0"))</f>
        <v>0</v>
      </c>
    </row>
    <row r="132" spans="1:9" ht="21" customHeight="1" x14ac:dyDescent="0.25">
      <c r="A132" s="14">
        <f>Somatorio[[#This Row],[Somatório]]</f>
        <v>0</v>
      </c>
      <c r="B132" s="15">
        <v>130</v>
      </c>
      <c r="C132" s="16" t="s">
        <v>147</v>
      </c>
      <c r="D132" s="16" t="s">
        <v>10</v>
      </c>
      <c r="E132" s="17">
        <f>IF(B132="","",SUMIF('[1]Pesagem ReciclaCEDAE'!$A$5:$A$2000,'[1]Cadastro &amp; Somatório'!A132,'[1]Pesagem ReciclaCEDAE'!$D$5:$D$2000))</f>
        <v>0</v>
      </c>
      <c r="F132" s="27"/>
      <c r="G132" s="27"/>
      <c r="H132" s="20"/>
      <c r="I132" s="28" t="str">
        <f>IF(Somatorio[[#This Row],[Somatório]]/10&gt;10,10,IF(Somatorio[[#This Row],[Somatório]]/10&gt;1, FLOOR(Somatorio[[#This Row],[Somatório]]/10,1), "0"))</f>
        <v>0</v>
      </c>
    </row>
    <row r="133" spans="1:9" ht="21" customHeight="1" x14ac:dyDescent="0.25">
      <c r="A133" s="8">
        <f>Somatorio[[#This Row],[Somatório]]</f>
        <v>30.500000000000007</v>
      </c>
      <c r="B133" s="15">
        <v>131</v>
      </c>
      <c r="C133" s="16" t="s">
        <v>148</v>
      </c>
      <c r="D133" s="16" t="s">
        <v>10</v>
      </c>
      <c r="E133" s="17">
        <f>IF(B133="","",SUMIF('[1]Pesagem ReciclaCEDAE'!$A$5:$A$2000,'[1]Cadastro &amp; Somatório'!A133,'[1]Pesagem ReciclaCEDAE'!$D$5:$D$2000))</f>
        <v>30.500000000000007</v>
      </c>
      <c r="F133" s="20"/>
      <c r="G133" s="27"/>
      <c r="H133" s="20"/>
      <c r="I133" s="21">
        <f>IF(Somatorio[[#This Row],[Somatório]]/10&gt;10,10,IF(Somatorio[[#This Row],[Somatório]]/10&gt;1, FLOOR(Somatorio[[#This Row],[Somatório]]/10,1), "0"))</f>
        <v>3</v>
      </c>
    </row>
    <row r="134" spans="1:9" ht="21" customHeight="1" x14ac:dyDescent="0.25">
      <c r="A134" s="14">
        <f>Somatorio[[#This Row],[Somatório]]</f>
        <v>60</v>
      </c>
      <c r="B134" s="15">
        <v>132</v>
      </c>
      <c r="C134" s="16" t="s">
        <v>149</v>
      </c>
      <c r="D134" s="16" t="s">
        <v>14</v>
      </c>
      <c r="E134" s="17">
        <f>IF(B134="","",SUMIF('[1]Pesagem ReciclaCEDAE'!$A$5:$A$2000,'[1]Cadastro &amp; Somatório'!A134,'[1]Pesagem ReciclaCEDAE'!$D$5:$D$2000))</f>
        <v>60</v>
      </c>
      <c r="F134" s="18" t="s">
        <v>12</v>
      </c>
      <c r="G134" s="27"/>
      <c r="H134" s="20">
        <v>1</v>
      </c>
      <c r="I134" s="21">
        <f>IF(Somatorio[[#This Row],[Somatório]]/10&gt;10,10,IF(Somatorio[[#This Row],[Somatório]]/10&gt;1, FLOOR(Somatorio[[#This Row],[Somatório]]/10,1), "0"))</f>
        <v>6</v>
      </c>
    </row>
    <row r="135" spans="1:9" ht="21" customHeight="1" x14ac:dyDescent="0.25">
      <c r="A135" s="8">
        <f>Somatorio[[#This Row],[Somatório]]</f>
        <v>146.79999999999998</v>
      </c>
      <c r="B135" s="15">
        <v>133</v>
      </c>
      <c r="C135" s="16" t="s">
        <v>150</v>
      </c>
      <c r="D135" s="16" t="s">
        <v>14</v>
      </c>
      <c r="E135" s="17">
        <f>IF(B135="","",SUMIF('[1]Pesagem ReciclaCEDAE'!$A$5:$A$2000,'[1]Cadastro &amp; Somatório'!A135,'[1]Pesagem ReciclaCEDAE'!$D$5:$D$2000))</f>
        <v>146.79999999999998</v>
      </c>
      <c r="F135" s="32" t="s">
        <v>18</v>
      </c>
      <c r="G135" s="26" t="s">
        <v>18</v>
      </c>
      <c r="H135" s="20"/>
      <c r="I135" s="21">
        <f>IF(Somatorio[[#This Row],[Somatório]]/10&gt;10,10,IF(Somatorio[[#This Row],[Somatório]]/10&gt;1, FLOOR(Somatorio[[#This Row],[Somatório]]/10,1), "0"))</f>
        <v>10</v>
      </c>
    </row>
    <row r="136" spans="1:9" ht="21" customHeight="1" x14ac:dyDescent="0.25">
      <c r="A136" s="14">
        <f>Somatorio[[#This Row],[Somatório]]</f>
        <v>0</v>
      </c>
      <c r="B136" s="15">
        <v>134</v>
      </c>
      <c r="C136" s="16" t="s">
        <v>151</v>
      </c>
      <c r="D136" s="16" t="s">
        <v>22</v>
      </c>
      <c r="E136" s="17">
        <f>IF(B136="","",SUMIF('[1]Pesagem ReciclaCEDAE'!$A$5:$A$2000,'[1]Cadastro &amp; Somatório'!A136,'[1]Pesagem ReciclaCEDAE'!$D$5:$D$2000))</f>
        <v>0</v>
      </c>
      <c r="F136" s="27"/>
      <c r="G136" s="27"/>
      <c r="H136" s="20"/>
      <c r="I136" s="28" t="str">
        <f>IF(Somatorio[[#This Row],[Somatório]]/10&gt;10,10,IF(Somatorio[[#This Row],[Somatório]]/10&gt;1, FLOOR(Somatorio[[#This Row],[Somatório]]/10,1), "0"))</f>
        <v>0</v>
      </c>
    </row>
    <row r="137" spans="1:9" ht="21" customHeight="1" x14ac:dyDescent="0.25">
      <c r="A137" s="8">
        <f>Somatorio[[#This Row],[Somatório]]</f>
        <v>0</v>
      </c>
      <c r="B137" s="15">
        <v>135</v>
      </c>
      <c r="C137" s="16" t="s">
        <v>152</v>
      </c>
      <c r="D137" s="16" t="s">
        <v>10</v>
      </c>
      <c r="E137" s="17">
        <f>IF(B137="","",SUMIF('[1]Pesagem ReciclaCEDAE'!$A$5:$A$2000,'[1]Cadastro &amp; Somatório'!A137,'[1]Pesagem ReciclaCEDAE'!$D$5:$D$2000))</f>
        <v>0</v>
      </c>
      <c r="F137" s="27"/>
      <c r="G137" s="27"/>
      <c r="H137" s="20"/>
      <c r="I137" s="28" t="str">
        <f>IF(Somatorio[[#This Row],[Somatório]]/10&gt;10,10,IF(Somatorio[[#This Row],[Somatório]]/10&gt;1, FLOOR(Somatorio[[#This Row],[Somatório]]/10,1), "0"))</f>
        <v>0</v>
      </c>
    </row>
    <row r="138" spans="1:9" ht="21" customHeight="1" x14ac:dyDescent="0.25">
      <c r="A138" s="14">
        <f>Somatorio[[#This Row],[Somatório]]</f>
        <v>2.1</v>
      </c>
      <c r="B138" s="15">
        <v>136</v>
      </c>
      <c r="C138" s="16" t="s">
        <v>153</v>
      </c>
      <c r="D138" s="16" t="s">
        <v>16</v>
      </c>
      <c r="E138" s="17">
        <f>IF(B138="","",SUMIF('[1]Pesagem ReciclaCEDAE'!$A$5:$A$2000,'[1]Cadastro &amp; Somatório'!A138,'[1]Pesagem ReciclaCEDAE'!$D$5:$D$2000))</f>
        <v>2.1</v>
      </c>
      <c r="F138" s="27"/>
      <c r="G138" s="27"/>
      <c r="H138" s="20"/>
      <c r="I138" s="28" t="str">
        <f>IF(Somatorio[[#This Row],[Somatório]]/10&gt;10,10,IF(Somatorio[[#This Row],[Somatório]]/10&gt;1, FLOOR(Somatorio[[#This Row],[Somatório]]/10,1), "0"))</f>
        <v>0</v>
      </c>
    </row>
    <row r="139" spans="1:9" ht="21" customHeight="1" x14ac:dyDescent="0.25">
      <c r="A139" s="8">
        <f>Somatorio[[#This Row],[Somatório]]</f>
        <v>268.20000000000005</v>
      </c>
      <c r="B139" s="15">
        <v>137</v>
      </c>
      <c r="C139" s="16" t="s">
        <v>154</v>
      </c>
      <c r="D139" s="16" t="s">
        <v>48</v>
      </c>
      <c r="E139" s="17">
        <f>IF(B139="","",SUMIF('[1]Pesagem ReciclaCEDAE'!$A$5:$A$2000,'[1]Cadastro &amp; Somatório'!A139,'[1]Pesagem ReciclaCEDAE'!$D$5:$D$2000))</f>
        <v>268.20000000000005</v>
      </c>
      <c r="F139" s="18" t="s">
        <v>18</v>
      </c>
      <c r="G139" s="26" t="s">
        <v>18</v>
      </c>
      <c r="H139" s="20">
        <v>2</v>
      </c>
      <c r="I139" s="21">
        <f>IF(Somatorio[[#This Row],[Somatório]]/10&gt;10,10,IF(Somatorio[[#This Row],[Somatório]]/10&gt;1, FLOOR(Somatorio[[#This Row],[Somatório]]/10,1), "0"))</f>
        <v>10</v>
      </c>
    </row>
    <row r="140" spans="1:9" ht="21" customHeight="1" x14ac:dyDescent="0.25">
      <c r="A140" s="14">
        <f>Somatorio[[#This Row],[Somatório]]</f>
        <v>0</v>
      </c>
      <c r="B140" s="15">
        <v>138</v>
      </c>
      <c r="C140" s="16" t="s">
        <v>155</v>
      </c>
      <c r="D140" s="16" t="s">
        <v>16</v>
      </c>
      <c r="E140" s="17">
        <f>IF(B140="","",SUMIF('[1]Pesagem ReciclaCEDAE'!$A$5:$A$2000,'[1]Cadastro &amp; Somatório'!A140,'[1]Pesagem ReciclaCEDAE'!$D$5:$D$2000))</f>
        <v>0</v>
      </c>
      <c r="F140" s="27"/>
      <c r="G140" s="27"/>
      <c r="H140" s="20"/>
      <c r="I140" s="28" t="str">
        <f>IF(Somatorio[[#This Row],[Somatório]]/10&gt;10,10,IF(Somatorio[[#This Row],[Somatório]]/10&gt;1, FLOOR(Somatorio[[#This Row],[Somatório]]/10,1), "0"))</f>
        <v>0</v>
      </c>
    </row>
    <row r="141" spans="1:9" ht="21" customHeight="1" x14ac:dyDescent="0.25">
      <c r="A141" s="8">
        <f>Somatorio[[#This Row],[Somatório]]</f>
        <v>0</v>
      </c>
      <c r="B141" s="15">
        <v>139</v>
      </c>
      <c r="C141" s="16" t="s">
        <v>156</v>
      </c>
      <c r="D141" s="16" t="s">
        <v>16</v>
      </c>
      <c r="E141" s="17">
        <f>IF(B141="","",SUMIF('[1]Pesagem ReciclaCEDAE'!$A$5:$A$2000,'[1]Cadastro &amp; Somatório'!A141,'[1]Pesagem ReciclaCEDAE'!$D$5:$D$2000))</f>
        <v>0</v>
      </c>
      <c r="F141" s="27"/>
      <c r="G141" s="27"/>
      <c r="H141" s="20"/>
      <c r="I141" s="28" t="str">
        <f>IF(Somatorio[[#This Row],[Somatório]]/10&gt;10,10,IF(Somatorio[[#This Row],[Somatório]]/10&gt;1, FLOOR(Somatorio[[#This Row],[Somatório]]/10,1), "0"))</f>
        <v>0</v>
      </c>
    </row>
    <row r="142" spans="1:9" ht="21" customHeight="1" x14ac:dyDescent="0.25">
      <c r="A142" s="14">
        <f>Somatorio[[#This Row],[Somatório]]</f>
        <v>192.7</v>
      </c>
      <c r="B142" s="15">
        <v>140</v>
      </c>
      <c r="C142" s="16" t="s">
        <v>157</v>
      </c>
      <c r="D142" s="16" t="s">
        <v>22</v>
      </c>
      <c r="E142" s="17">
        <f>IF(B142="","",SUMIF('[1]Pesagem ReciclaCEDAE'!$A$5:$A$2000,'[1]Cadastro &amp; Somatório'!A142,'[1]Pesagem ReciclaCEDAE'!$D$5:$D$2000))</f>
        <v>192.7</v>
      </c>
      <c r="F142" s="18" t="s">
        <v>12</v>
      </c>
      <c r="G142" s="27"/>
      <c r="H142" s="20"/>
      <c r="I142" s="21">
        <f>IF(Somatorio[[#This Row],[Somatório]]/10&gt;10,10,IF(Somatorio[[#This Row],[Somatório]]/10&gt;1, FLOOR(Somatorio[[#This Row],[Somatório]]/10,1), "0"))</f>
        <v>10</v>
      </c>
    </row>
    <row r="143" spans="1:9" ht="21" customHeight="1" x14ac:dyDescent="0.25">
      <c r="A143" s="8">
        <f>Somatorio[[#This Row],[Somatório]]</f>
        <v>0</v>
      </c>
      <c r="B143" s="15">
        <v>141</v>
      </c>
      <c r="C143" s="16" t="s">
        <v>158</v>
      </c>
      <c r="D143" s="16" t="s">
        <v>14</v>
      </c>
      <c r="E143" s="17">
        <f>IF(B143="","",SUMIF('[1]Pesagem ReciclaCEDAE'!$A$5:$A$2000,'[1]Cadastro &amp; Somatório'!A143,'[1]Pesagem ReciclaCEDAE'!$D$5:$D$2000))</f>
        <v>0</v>
      </c>
      <c r="F143" s="27"/>
      <c r="G143" s="27"/>
      <c r="H143" s="20"/>
      <c r="I143" s="28" t="str">
        <f>IF(Somatorio[[#This Row],[Somatório]]/10&gt;10,10,IF(Somatorio[[#This Row],[Somatório]]/10&gt;1, FLOOR(Somatorio[[#This Row],[Somatório]]/10,1), "0"))</f>
        <v>0</v>
      </c>
    </row>
    <row r="144" spans="1:9" ht="21" customHeight="1" x14ac:dyDescent="0.25">
      <c r="A144" s="14">
        <f>Somatorio[[#This Row],[Somatório]]</f>
        <v>0</v>
      </c>
      <c r="B144" s="15">
        <v>142</v>
      </c>
      <c r="C144" s="16" t="s">
        <v>159</v>
      </c>
      <c r="D144" s="16" t="s">
        <v>33</v>
      </c>
      <c r="E144" s="17">
        <f>IF(B144="","",SUMIF('[1]Pesagem ReciclaCEDAE'!$A$5:$A$2000,'[1]Cadastro &amp; Somatório'!A144,'[1]Pesagem ReciclaCEDAE'!$D$5:$D$2000))</f>
        <v>0</v>
      </c>
      <c r="F144" s="27"/>
      <c r="G144" s="27"/>
      <c r="H144" s="20"/>
      <c r="I144" s="28" t="str">
        <f>IF(Somatorio[[#This Row],[Somatório]]/10&gt;10,10,IF(Somatorio[[#This Row],[Somatório]]/10&gt;1, FLOOR(Somatorio[[#This Row],[Somatório]]/10,1), "0"))</f>
        <v>0</v>
      </c>
    </row>
    <row r="145" spans="1:9" ht="21" customHeight="1" x14ac:dyDescent="0.25">
      <c r="A145" s="8">
        <f>Somatorio[[#This Row],[Somatório]]</f>
        <v>0</v>
      </c>
      <c r="B145" s="15">
        <v>143</v>
      </c>
      <c r="C145" s="16" t="s">
        <v>160</v>
      </c>
      <c r="D145" s="16" t="s">
        <v>10</v>
      </c>
      <c r="E145" s="17">
        <f>IF(B145="","",SUMIF('[1]Pesagem ReciclaCEDAE'!$A$5:$A$2000,'[1]Cadastro &amp; Somatório'!A145,'[1]Pesagem ReciclaCEDAE'!$D$5:$D$2000))</f>
        <v>0</v>
      </c>
      <c r="F145" s="27"/>
      <c r="G145" s="27"/>
      <c r="H145" s="20"/>
      <c r="I145" s="28" t="str">
        <f>IF(Somatorio[[#This Row],[Somatório]]/10&gt;10,10,IF(Somatorio[[#This Row],[Somatório]]/10&gt;1, FLOOR(Somatorio[[#This Row],[Somatório]]/10,1), "0"))</f>
        <v>0</v>
      </c>
    </row>
    <row r="146" spans="1:9" ht="21" customHeight="1" x14ac:dyDescent="0.25">
      <c r="A146" s="14">
        <f>Somatorio[[#This Row],[Somatório]]</f>
        <v>129.70000000000002</v>
      </c>
      <c r="B146" s="15">
        <v>144</v>
      </c>
      <c r="C146" s="16" t="s">
        <v>161</v>
      </c>
      <c r="D146" s="16" t="s">
        <v>14</v>
      </c>
      <c r="E146" s="17">
        <f>IF(B146="","",SUMIF('[1]Pesagem ReciclaCEDAE'!$A$5:$A$2000,'[1]Cadastro &amp; Somatório'!A146,'[1]Pesagem ReciclaCEDAE'!$D$5:$D$2000))</f>
        <v>129.70000000000002</v>
      </c>
      <c r="F146" s="18" t="s">
        <v>18</v>
      </c>
      <c r="G146" s="27"/>
      <c r="H146" s="20">
        <v>2</v>
      </c>
      <c r="I146" s="21">
        <f>IF(Somatorio[[#This Row],[Somatório]]/10&gt;10,10,IF(Somatorio[[#This Row],[Somatório]]/10&gt;1, FLOOR(Somatorio[[#This Row],[Somatório]]/10,1), "0"))</f>
        <v>10</v>
      </c>
    </row>
    <row r="147" spans="1:9" ht="21" customHeight="1" x14ac:dyDescent="0.25">
      <c r="A147" s="8">
        <f>Somatorio[[#This Row],[Somatório]]</f>
        <v>0</v>
      </c>
      <c r="B147" s="15">
        <v>145</v>
      </c>
      <c r="C147" s="16" t="s">
        <v>162</v>
      </c>
      <c r="D147" s="16" t="s">
        <v>22</v>
      </c>
      <c r="E147" s="17">
        <f>IF(B147="","",SUMIF('[1]Pesagem ReciclaCEDAE'!$A$5:$A$2000,'[1]Cadastro &amp; Somatório'!A147,'[1]Pesagem ReciclaCEDAE'!$D$5:$D$2000))</f>
        <v>0</v>
      </c>
      <c r="F147" s="27"/>
      <c r="G147" s="27"/>
      <c r="H147" s="20"/>
      <c r="I147" s="28" t="str">
        <f>IF(Somatorio[[#This Row],[Somatório]]/10&gt;10,10,IF(Somatorio[[#This Row],[Somatório]]/10&gt;1, FLOOR(Somatorio[[#This Row],[Somatório]]/10,1), "0"))</f>
        <v>0</v>
      </c>
    </row>
    <row r="148" spans="1:9" ht="21" customHeight="1" x14ac:dyDescent="0.25">
      <c r="A148" s="14">
        <f>Somatorio[[#This Row],[Somatório]]</f>
        <v>8.6999999999999993</v>
      </c>
      <c r="B148" s="15">
        <v>146</v>
      </c>
      <c r="C148" s="16" t="s">
        <v>163</v>
      </c>
      <c r="D148" s="16" t="s">
        <v>10</v>
      </c>
      <c r="E148" s="17">
        <f>IF(B148="","",SUMIF('[1]Pesagem ReciclaCEDAE'!$A$5:$A$2000,'[1]Cadastro &amp; Somatório'!A148,'[1]Pesagem ReciclaCEDAE'!$D$5:$D$2000))</f>
        <v>8.6999999999999993</v>
      </c>
      <c r="F148" s="20"/>
      <c r="G148" s="27"/>
      <c r="H148" s="20"/>
      <c r="I148" s="21" t="str">
        <f>IF(Somatorio[[#This Row],[Somatório]]/10&gt;10,10,IF(Somatorio[[#This Row],[Somatório]]/10&gt;1, FLOOR(Somatorio[[#This Row],[Somatório]]/10,1), "0"))</f>
        <v>0</v>
      </c>
    </row>
    <row r="149" spans="1:9" ht="21" customHeight="1" x14ac:dyDescent="0.25">
      <c r="A149" s="8">
        <f>Somatorio[[#This Row],[Somatório]]</f>
        <v>81.8</v>
      </c>
      <c r="B149" s="15">
        <v>147</v>
      </c>
      <c r="C149" s="16" t="s">
        <v>164</v>
      </c>
      <c r="D149" s="16" t="s">
        <v>16</v>
      </c>
      <c r="E149" s="17">
        <f>IF(B149="","",SUMIF('[1]Pesagem ReciclaCEDAE'!$A$5:$A$2000,'[1]Cadastro &amp; Somatório'!A149,'[1]Pesagem ReciclaCEDAE'!$D$5:$D$2000))</f>
        <v>81.8</v>
      </c>
      <c r="F149" s="18" t="s">
        <v>18</v>
      </c>
      <c r="G149" s="27"/>
      <c r="H149" s="20"/>
      <c r="I149" s="21">
        <f>IF(Somatorio[[#This Row],[Somatório]]/10&gt;10,10,IF(Somatorio[[#This Row],[Somatório]]/10&gt;1, FLOOR(Somatorio[[#This Row],[Somatório]]/10,1), "0"))</f>
        <v>8</v>
      </c>
    </row>
    <row r="150" spans="1:9" ht="21" customHeight="1" x14ac:dyDescent="0.25">
      <c r="A150" s="14">
        <f>Somatorio[[#This Row],[Somatório]]</f>
        <v>0</v>
      </c>
      <c r="B150" s="15">
        <v>148</v>
      </c>
      <c r="C150" s="16" t="s">
        <v>165</v>
      </c>
      <c r="D150" s="16" t="s">
        <v>33</v>
      </c>
      <c r="E150" s="17">
        <f>IF(B150="","",SUMIF('[1]Pesagem ReciclaCEDAE'!$A$5:$A$2000,'[1]Cadastro &amp; Somatório'!A150,'[1]Pesagem ReciclaCEDAE'!$D$5:$D$2000))</f>
        <v>0</v>
      </c>
      <c r="F150" s="27"/>
      <c r="G150" s="27"/>
      <c r="H150" s="20"/>
      <c r="I150" s="28" t="str">
        <f>IF(Somatorio[[#This Row],[Somatório]]/10&gt;10,10,IF(Somatorio[[#This Row],[Somatório]]/10&gt;1, FLOOR(Somatorio[[#This Row],[Somatório]]/10,1), "0"))</f>
        <v>0</v>
      </c>
    </row>
    <row r="151" spans="1:9" ht="21" customHeight="1" x14ac:dyDescent="0.25">
      <c r="A151" s="8">
        <f>Somatorio[[#This Row],[Somatório]]</f>
        <v>2.6</v>
      </c>
      <c r="B151" s="15">
        <v>149</v>
      </c>
      <c r="C151" s="16" t="s">
        <v>166</v>
      </c>
      <c r="D151" s="16" t="s">
        <v>10</v>
      </c>
      <c r="E151" s="17">
        <f>IF(B151="","",SUMIF('[1]Pesagem ReciclaCEDAE'!$A$5:$A$2000,'[1]Cadastro &amp; Somatório'!A151,'[1]Pesagem ReciclaCEDAE'!$D$5:$D$2000))</f>
        <v>2.6</v>
      </c>
      <c r="F151" s="20"/>
      <c r="G151" s="27"/>
      <c r="H151" s="20"/>
      <c r="I151" s="21" t="str">
        <f>IF(Somatorio[[#This Row],[Somatório]]/10&gt;10,10,IF(Somatorio[[#This Row],[Somatório]]/10&gt;1, FLOOR(Somatorio[[#This Row],[Somatório]]/10,1), "0"))</f>
        <v>0</v>
      </c>
    </row>
    <row r="152" spans="1:9" ht="21" customHeight="1" x14ac:dyDescent="0.25">
      <c r="A152" s="14">
        <f>Somatorio[[#This Row],[Somatório]]</f>
        <v>0</v>
      </c>
      <c r="B152" s="15">
        <v>150</v>
      </c>
      <c r="C152" s="16" t="s">
        <v>167</v>
      </c>
      <c r="D152" s="16" t="s">
        <v>10</v>
      </c>
      <c r="E152" s="17">
        <f>IF(B152="","",SUMIF('[1]Pesagem ReciclaCEDAE'!$A$5:$A$2000,'[1]Cadastro &amp; Somatório'!A152,'[1]Pesagem ReciclaCEDAE'!$D$5:$D$2000))</f>
        <v>0</v>
      </c>
      <c r="F152" s="27"/>
      <c r="G152" s="27"/>
      <c r="H152" s="20"/>
      <c r="I152" s="28" t="str">
        <f>IF(Somatorio[[#This Row],[Somatório]]/10&gt;10,10,IF(Somatorio[[#This Row],[Somatório]]/10&gt;1, FLOOR(Somatorio[[#This Row],[Somatório]]/10,1), "0"))</f>
        <v>0</v>
      </c>
    </row>
    <row r="153" spans="1:9" ht="21" customHeight="1" x14ac:dyDescent="0.25">
      <c r="A153" s="8">
        <f>Somatorio[[#This Row],[Somatório]]</f>
        <v>0</v>
      </c>
      <c r="B153" s="15">
        <v>151</v>
      </c>
      <c r="C153" s="16" t="s">
        <v>168</v>
      </c>
      <c r="D153" s="16" t="s">
        <v>22</v>
      </c>
      <c r="E153" s="17">
        <f>IF(B153="","",SUMIF('[1]Pesagem ReciclaCEDAE'!$A$5:$A$2000,'[1]Cadastro &amp; Somatório'!A153,'[1]Pesagem ReciclaCEDAE'!$D$5:$D$2000))</f>
        <v>0</v>
      </c>
      <c r="F153" s="27"/>
      <c r="G153" s="27"/>
      <c r="H153" s="20"/>
      <c r="I153" s="28" t="str">
        <f>IF(Somatorio[[#This Row],[Somatório]]/10&gt;10,10,IF(Somatorio[[#This Row],[Somatório]]/10&gt;1, FLOOR(Somatorio[[#This Row],[Somatório]]/10,1), "0"))</f>
        <v>0</v>
      </c>
    </row>
    <row r="154" spans="1:9" ht="21" customHeight="1" x14ac:dyDescent="0.25">
      <c r="A154" s="14">
        <f>Somatorio[[#This Row],[Somatório]]</f>
        <v>0</v>
      </c>
      <c r="B154" s="15">
        <v>152</v>
      </c>
      <c r="C154" s="16" t="s">
        <v>169</v>
      </c>
      <c r="D154" s="16" t="s">
        <v>22</v>
      </c>
      <c r="E154" s="17">
        <f>IF(B154="","",SUMIF('[1]Pesagem ReciclaCEDAE'!$A$5:$A$2000,'[1]Cadastro &amp; Somatório'!A154,'[1]Pesagem ReciclaCEDAE'!$D$5:$D$2000))</f>
        <v>0</v>
      </c>
      <c r="F154" s="27"/>
      <c r="G154" s="27"/>
      <c r="H154" s="20"/>
      <c r="I154" s="28" t="str">
        <f>IF(Somatorio[[#This Row],[Somatório]]/10&gt;10,10,IF(Somatorio[[#This Row],[Somatório]]/10&gt;1, FLOOR(Somatorio[[#This Row],[Somatório]]/10,1), "0"))</f>
        <v>0</v>
      </c>
    </row>
    <row r="155" spans="1:9" ht="21" customHeight="1" x14ac:dyDescent="0.25">
      <c r="A155" s="8">
        <f>Somatorio[[#This Row],[Somatório]]</f>
        <v>34.700000000000003</v>
      </c>
      <c r="B155" s="15">
        <v>153</v>
      </c>
      <c r="C155" s="16" t="s">
        <v>170</v>
      </c>
      <c r="D155" s="16" t="s">
        <v>33</v>
      </c>
      <c r="E155" s="17">
        <f>IF(B155="","",SUMIF('[1]Pesagem ReciclaCEDAE'!$A$5:$A$2000,'[1]Cadastro &amp; Somatório'!A155,'[1]Pesagem ReciclaCEDAE'!$D$5:$D$2000))</f>
        <v>34.700000000000003</v>
      </c>
      <c r="F155" s="20"/>
      <c r="G155" s="27"/>
      <c r="H155" s="20"/>
      <c r="I155" s="21">
        <f>IF(Somatorio[[#This Row],[Somatório]]/10&gt;10,10,IF(Somatorio[[#This Row],[Somatório]]/10&gt;1, FLOOR(Somatorio[[#This Row],[Somatório]]/10,1), "0"))</f>
        <v>3</v>
      </c>
    </row>
    <row r="156" spans="1:9" ht="21" customHeight="1" x14ac:dyDescent="0.25">
      <c r="A156" s="14">
        <f>Somatorio[[#This Row],[Somatório]]</f>
        <v>23</v>
      </c>
      <c r="B156" s="15">
        <v>154</v>
      </c>
      <c r="C156" s="16" t="s">
        <v>171</v>
      </c>
      <c r="D156" s="16" t="s">
        <v>14</v>
      </c>
      <c r="E156" s="17">
        <f>IF(B156="","",SUMIF('[1]Pesagem ReciclaCEDAE'!$A$5:$A$2000,'[1]Cadastro &amp; Somatório'!A156,'[1]Pesagem ReciclaCEDAE'!$D$5:$D$2000))</f>
        <v>23</v>
      </c>
      <c r="F156" s="20"/>
      <c r="G156" s="27"/>
      <c r="H156" s="20"/>
      <c r="I156" s="21">
        <f>IF(Somatorio[[#This Row],[Somatório]]/10&gt;10,10,IF(Somatorio[[#This Row],[Somatório]]/10&gt;1, FLOOR(Somatorio[[#This Row],[Somatório]]/10,1), "0"))</f>
        <v>2</v>
      </c>
    </row>
    <row r="157" spans="1:9" ht="21" customHeight="1" x14ac:dyDescent="0.25">
      <c r="A157" s="8">
        <f>Somatorio[[#This Row],[Somatório]]</f>
        <v>38.200000000000003</v>
      </c>
      <c r="B157" s="15">
        <v>155</v>
      </c>
      <c r="C157" s="16" t="s">
        <v>172</v>
      </c>
      <c r="D157" s="16" t="s">
        <v>14</v>
      </c>
      <c r="E157" s="17">
        <f>IF(B157="","",SUMIF('[1]Pesagem ReciclaCEDAE'!$A$5:$A$2000,'[1]Cadastro &amp; Somatório'!A157,'[1]Pesagem ReciclaCEDAE'!$D$5:$D$2000))</f>
        <v>38.200000000000003</v>
      </c>
      <c r="F157" s="20"/>
      <c r="G157" s="27"/>
      <c r="H157" s="20"/>
      <c r="I157" s="21">
        <f>IF(Somatorio[[#This Row],[Somatório]]/10&gt;10,10,IF(Somatorio[[#This Row],[Somatório]]/10&gt;1, FLOOR(Somatorio[[#This Row],[Somatório]]/10,1), "0"))</f>
        <v>3</v>
      </c>
    </row>
    <row r="158" spans="1:9" ht="21" customHeight="1" x14ac:dyDescent="0.25">
      <c r="A158" s="14">
        <f>Somatorio[[#This Row],[Somatório]]</f>
        <v>7.6</v>
      </c>
      <c r="B158" s="15">
        <v>156</v>
      </c>
      <c r="C158" s="16" t="s">
        <v>173</v>
      </c>
      <c r="D158" s="16" t="s">
        <v>22</v>
      </c>
      <c r="E158" s="17">
        <f>IF(B158="","",SUMIF('[1]Pesagem ReciclaCEDAE'!$A$5:$A$2000,'[1]Cadastro &amp; Somatório'!A158,'[1]Pesagem ReciclaCEDAE'!$D$5:$D$2000))</f>
        <v>7.6</v>
      </c>
      <c r="F158" s="20"/>
      <c r="G158" s="27"/>
      <c r="H158" s="20"/>
      <c r="I158" s="21" t="str">
        <f>IF(Somatorio[[#This Row],[Somatório]]/10&gt;10,10,IF(Somatorio[[#This Row],[Somatório]]/10&gt;1, FLOOR(Somatorio[[#This Row],[Somatório]]/10,1), "0"))</f>
        <v>0</v>
      </c>
    </row>
    <row r="159" spans="1:9" ht="21" customHeight="1" x14ac:dyDescent="0.25">
      <c r="A159" s="14"/>
      <c r="B159" s="15">
        <v>157</v>
      </c>
      <c r="C159" s="16" t="s">
        <v>174</v>
      </c>
      <c r="D159" s="16" t="s">
        <v>175</v>
      </c>
      <c r="E159" s="17">
        <f>IF(B159="","",SUMIF('[1]Pesagem ReciclaCEDAE'!$A$5:$A$2000,'[1]Cadastro &amp; Somatório'!A159,'[1]Pesagem ReciclaCEDAE'!$D$5:$D$2000))</f>
        <v>0</v>
      </c>
      <c r="F159" s="33"/>
      <c r="G159" s="27"/>
      <c r="H159" s="20"/>
      <c r="I159" s="21" t="str">
        <f>IF(Somatorio[[#This Row],[Somatório]]/10&gt;10,10,IF(Somatorio[[#This Row],[Somatório]]/10&gt;1, FLOOR(Somatorio[[#This Row],[Somatório]]/10,1), "0"))</f>
        <v>0</v>
      </c>
    </row>
    <row r="160" spans="1:9" ht="21" customHeight="1" x14ac:dyDescent="0.25">
      <c r="A160" s="14"/>
      <c r="B160" s="15">
        <v>158</v>
      </c>
      <c r="C160" s="16" t="s">
        <v>176</v>
      </c>
      <c r="D160" s="16" t="s">
        <v>16</v>
      </c>
      <c r="E160" s="17">
        <f>IF(B160="","",SUMIF('[1]Pesagem ReciclaCEDAE'!$A$5:$A$2000,'[1]Cadastro &amp; Somatório'!A160,'[1]Pesagem ReciclaCEDAE'!$D$5:$D$2000))</f>
        <v>61.8</v>
      </c>
      <c r="F160" s="18" t="s">
        <v>18</v>
      </c>
      <c r="G160" s="27"/>
      <c r="H160" s="20"/>
      <c r="I160" s="21">
        <f>IF(Somatorio[[#This Row],[Somatório]]/10&gt;10,10,IF(Somatorio[[#This Row],[Somatório]]/10&gt;1, FLOOR(Somatorio[[#This Row],[Somatório]]/10,1), "0"))</f>
        <v>6</v>
      </c>
    </row>
    <row r="161" spans="1:10" ht="21" customHeight="1" x14ac:dyDescent="0.25">
      <c r="A161" s="14">
        <f>Somatorio[[#This Row],[Somatório]]</f>
        <v>48.2</v>
      </c>
      <c r="B161" s="15">
        <v>159</v>
      </c>
      <c r="C161" s="16" t="s">
        <v>177</v>
      </c>
      <c r="D161" s="16" t="s">
        <v>16</v>
      </c>
      <c r="E161" s="17">
        <f>IF(B161="","",SUMIF('[1]Pesagem ReciclaCEDAE'!$A$5:$A$2000,'[1]Cadastro &amp; Somatório'!A161,'[1]Pesagem ReciclaCEDAE'!$D$5:$D$2000))</f>
        <v>48.2</v>
      </c>
      <c r="F161" s="20"/>
      <c r="G161" s="27"/>
      <c r="H161" s="20">
        <v>1</v>
      </c>
      <c r="I161" s="21">
        <f>IF(Somatorio[[#This Row],[Somatório]]/10&gt;10,10,IF(Somatorio[[#This Row],[Somatório]]/10&gt;1, FLOOR(Somatorio[[#This Row],[Somatório]]/10,1), "0"))</f>
        <v>4</v>
      </c>
    </row>
    <row r="162" spans="1:10" ht="21" customHeight="1" thickBot="1" x14ac:dyDescent="0.3">
      <c r="A162" s="8">
        <f>Somatorio[[#This Row],[Somatório]]</f>
        <v>237.76999999999998</v>
      </c>
      <c r="B162" s="34">
        <v>160</v>
      </c>
      <c r="C162" s="35" t="s">
        <v>178</v>
      </c>
      <c r="D162" s="35" t="s">
        <v>48</v>
      </c>
      <c r="E162" s="36">
        <f>IF(B162="","",SUMIF('[1]Pesagem ReciclaCEDAE'!$A$5:$A$2000,'[1]Cadastro &amp; Somatório'!A162,'[1]Pesagem ReciclaCEDAE'!$D$5:$D$2000))</f>
        <v>237.76999999999998</v>
      </c>
      <c r="F162" s="18" t="s">
        <v>12</v>
      </c>
      <c r="G162" s="37"/>
      <c r="H162" s="37"/>
      <c r="I162" s="38">
        <f>IF(Somatorio[[#This Row],[Somatório]]/10&gt;10,10,IF(Somatorio[[#This Row],[Somatório]]/10&gt;1, FLOOR(Somatorio[[#This Row],[Somatório]]/10,1), "0"))</f>
        <v>10</v>
      </c>
      <c r="J162" s="39"/>
    </row>
    <row r="163" spans="1:10" ht="40.5" customHeight="1" thickBot="1" x14ac:dyDescent="0.3">
      <c r="A163" s="40">
        <f>E163</f>
        <v>16915.591000000004</v>
      </c>
      <c r="B163" s="41" t="s">
        <v>179</v>
      </c>
      <c r="C163" s="42"/>
      <c r="D163" s="43"/>
      <c r="E163" s="44">
        <f>SUM(E3:E162)</f>
        <v>16915.591000000004</v>
      </c>
    </row>
    <row r="164" spans="1:10" ht="27.75" customHeight="1" thickBot="1" x14ac:dyDescent="0.3"/>
    <row r="165" spans="1:10" ht="27.75" customHeight="1" thickBot="1" x14ac:dyDescent="0.3">
      <c r="D165" s="48" t="s">
        <v>180</v>
      </c>
      <c r="E165" s="49" t="s">
        <v>181</v>
      </c>
      <c r="F165" s="50" t="s">
        <v>182</v>
      </c>
      <c r="G165" s="51" t="s">
        <v>183</v>
      </c>
    </row>
    <row r="166" spans="1:10" ht="27.75" customHeight="1" x14ac:dyDescent="0.25">
      <c r="D166" s="52">
        <v>0</v>
      </c>
      <c r="E166" s="53" t="s">
        <v>184</v>
      </c>
      <c r="F166" s="53">
        <f>COUNTIF(Somatorio[Somatório],D166)</f>
        <v>76</v>
      </c>
      <c r="G166" s="54">
        <f>F166/$F$173</f>
        <v>0.47499999999999998</v>
      </c>
    </row>
    <row r="167" spans="1:10" ht="27.75" customHeight="1" x14ac:dyDescent="0.25">
      <c r="D167" s="55" t="s">
        <v>185</v>
      </c>
      <c r="E167" s="56" t="s">
        <v>186</v>
      </c>
      <c r="F167" s="56">
        <f>COUNTIF(Somatorio[Somatório],D167)-F166</f>
        <v>19</v>
      </c>
      <c r="G167" s="57">
        <f t="shared" ref="G167:G173" si="0">F167/$F$173</f>
        <v>0.11874999999999999</v>
      </c>
    </row>
    <row r="168" spans="1:10" ht="27.75" customHeight="1" x14ac:dyDescent="0.25">
      <c r="D168" s="55" t="s">
        <v>187</v>
      </c>
      <c r="E168" s="56" t="s">
        <v>188</v>
      </c>
      <c r="F168" s="56">
        <f>COUNTIF(Somatorio[Somatório],D168)-F167-F166</f>
        <v>20</v>
      </c>
      <c r="G168" s="57">
        <f t="shared" si="0"/>
        <v>0.125</v>
      </c>
    </row>
    <row r="169" spans="1:10" ht="27.75" customHeight="1" x14ac:dyDescent="0.25">
      <c r="D169" s="55" t="s">
        <v>189</v>
      </c>
      <c r="E169" s="56" t="s">
        <v>190</v>
      </c>
      <c r="F169" s="56">
        <f>COUNTIF(Somatorio[Somatório],D169)-F168-F167-F166</f>
        <v>14</v>
      </c>
      <c r="G169" s="57">
        <f t="shared" si="0"/>
        <v>8.7499999999999994E-2</v>
      </c>
    </row>
    <row r="170" spans="1:10" ht="27.75" customHeight="1" x14ac:dyDescent="0.25">
      <c r="D170" s="55" t="s">
        <v>191</v>
      </c>
      <c r="E170" s="56" t="s">
        <v>192</v>
      </c>
      <c r="F170" s="56">
        <f>COUNTIF(Somatorio[Somatório],D170)-F169-F168-F167-F166</f>
        <v>28</v>
      </c>
      <c r="G170" s="57">
        <f t="shared" si="0"/>
        <v>0.17499999999999999</v>
      </c>
    </row>
    <row r="171" spans="1:10" ht="27.75" customHeight="1" x14ac:dyDescent="0.25">
      <c r="D171" s="55" t="s">
        <v>193</v>
      </c>
      <c r="E171" s="56" t="s">
        <v>194</v>
      </c>
      <c r="F171" s="56">
        <f>COUNTIF(Somatorio[Somatório],D171)-F170-F169-F168-F167-F166</f>
        <v>0</v>
      </c>
      <c r="G171" s="57">
        <f t="shared" si="0"/>
        <v>0</v>
      </c>
    </row>
    <row r="172" spans="1:10" ht="27.75" customHeight="1" thickBot="1" x14ac:dyDescent="0.3">
      <c r="D172" s="58" t="s">
        <v>195</v>
      </c>
      <c r="E172" s="59" t="s">
        <v>196</v>
      </c>
      <c r="F172" s="59">
        <f>COUNTIF(Somatorio[Somatório],D172)</f>
        <v>3</v>
      </c>
      <c r="G172" s="60">
        <f t="shared" si="0"/>
        <v>1.8749999999999999E-2</v>
      </c>
    </row>
    <row r="173" spans="1:10" ht="27.75" customHeight="1" thickBot="1" x14ac:dyDescent="0.3">
      <c r="D173" s="61" t="s">
        <v>197</v>
      </c>
      <c r="E173" s="62"/>
      <c r="F173" s="63">
        <f>SUM(F166:F172)</f>
        <v>160</v>
      </c>
      <c r="G173" s="64">
        <f t="shared" si="0"/>
        <v>1</v>
      </c>
    </row>
    <row r="174" spans="1:10" ht="27.75" customHeight="1" thickBot="1" x14ac:dyDescent="0.3">
      <c r="D174" s="61" t="s">
        <v>198</v>
      </c>
      <c r="E174" s="62"/>
      <c r="F174" s="63">
        <f>F173-F166</f>
        <v>84</v>
      </c>
      <c r="G174" s="64" t="s">
        <v>199</v>
      </c>
    </row>
  </sheetData>
  <mergeCells count="4">
    <mergeCell ref="B1:I1"/>
    <mergeCell ref="B163:D163"/>
    <mergeCell ref="D173:E173"/>
    <mergeCell ref="D174:E17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5939-451B-49D7-BAA9-348180DF13A3}">
  <dimension ref="A1:H161"/>
  <sheetViews>
    <sheetView tabSelected="1" workbookViewId="0">
      <selection activeCell="I15" sqref="I15"/>
    </sheetView>
  </sheetViews>
  <sheetFormatPr defaultRowHeight="15" x14ac:dyDescent="0.25"/>
  <cols>
    <col min="1" max="1" width="7.7109375" bestFit="1" customWidth="1"/>
    <col min="2" max="2" width="40.42578125" bestFit="1" customWidth="1"/>
    <col min="3" max="3" width="11.5703125" bestFit="1" customWidth="1"/>
    <col min="4" max="4" width="12.42578125" bestFit="1" customWidth="1"/>
    <col min="5" max="5" width="9.42578125" bestFit="1" customWidth="1"/>
    <col min="6" max="6" width="10.42578125" bestFit="1" customWidth="1"/>
    <col min="7" max="7" width="49.7109375" bestFit="1" customWidth="1"/>
    <col min="8" max="8" width="71.285156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1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>
        <v>53</v>
      </c>
      <c r="B2" s="68" t="s">
        <v>201</v>
      </c>
      <c r="C2" s="68" t="s">
        <v>10</v>
      </c>
      <c r="D2">
        <v>4248</v>
      </c>
      <c r="E2" s="68" t="s">
        <v>18</v>
      </c>
      <c r="F2" s="68" t="s">
        <v>18</v>
      </c>
      <c r="G2">
        <v>10</v>
      </c>
      <c r="H2">
        <v>10</v>
      </c>
    </row>
    <row r="3" spans="1:8" x14ac:dyDescent="0.25">
      <c r="A3">
        <v>61</v>
      </c>
      <c r="B3" s="68" t="s">
        <v>202</v>
      </c>
      <c r="C3" s="68" t="s">
        <v>14</v>
      </c>
      <c r="D3">
        <v>3692.5600000000013</v>
      </c>
      <c r="E3" s="68" t="s">
        <v>18</v>
      </c>
      <c r="F3" s="68" t="s">
        <v>18</v>
      </c>
      <c r="G3">
        <v>7</v>
      </c>
      <c r="H3">
        <v>10</v>
      </c>
    </row>
    <row r="4" spans="1:8" x14ac:dyDescent="0.25">
      <c r="A4">
        <v>116</v>
      </c>
      <c r="B4" s="68" t="s">
        <v>133</v>
      </c>
      <c r="C4" s="68" t="s">
        <v>22</v>
      </c>
      <c r="D4">
        <v>1909.7999999999995</v>
      </c>
      <c r="E4" s="68" t="s">
        <v>18</v>
      </c>
      <c r="F4" s="68" t="s">
        <v>18</v>
      </c>
      <c r="G4">
        <v>5</v>
      </c>
      <c r="H4">
        <v>10</v>
      </c>
    </row>
    <row r="5" spans="1:8" x14ac:dyDescent="0.25">
      <c r="A5">
        <v>55</v>
      </c>
      <c r="B5" s="68" t="s">
        <v>203</v>
      </c>
      <c r="C5" s="68" t="s">
        <v>10</v>
      </c>
      <c r="D5">
        <v>490.30000000000013</v>
      </c>
      <c r="E5" s="68" t="s">
        <v>18</v>
      </c>
      <c r="F5" s="68" t="s">
        <v>18</v>
      </c>
      <c r="G5">
        <v>10</v>
      </c>
      <c r="H5">
        <v>10</v>
      </c>
    </row>
    <row r="6" spans="1:8" x14ac:dyDescent="0.25">
      <c r="A6">
        <v>100</v>
      </c>
      <c r="B6" s="68" t="s">
        <v>117</v>
      </c>
      <c r="C6" s="68" t="s">
        <v>16</v>
      </c>
      <c r="D6">
        <v>435.09999999999997</v>
      </c>
      <c r="E6" s="68" t="s">
        <v>18</v>
      </c>
      <c r="F6" s="68" t="s">
        <v>18</v>
      </c>
      <c r="G6">
        <v>3</v>
      </c>
      <c r="H6">
        <v>10</v>
      </c>
    </row>
    <row r="7" spans="1:8" x14ac:dyDescent="0.25">
      <c r="A7">
        <v>112</v>
      </c>
      <c r="B7" s="68" t="s">
        <v>204</v>
      </c>
      <c r="C7" s="68" t="s">
        <v>10</v>
      </c>
      <c r="D7">
        <v>314.91000000000008</v>
      </c>
      <c r="E7" s="68" t="s">
        <v>18</v>
      </c>
      <c r="F7" s="68" t="s">
        <v>18</v>
      </c>
      <c r="G7">
        <v>5</v>
      </c>
      <c r="H7">
        <v>10</v>
      </c>
    </row>
    <row r="8" spans="1:8" x14ac:dyDescent="0.25">
      <c r="A8">
        <v>38</v>
      </c>
      <c r="B8" s="68" t="s">
        <v>55</v>
      </c>
      <c r="C8" s="68" t="s">
        <v>10</v>
      </c>
      <c r="D8">
        <v>311.11099999999999</v>
      </c>
      <c r="E8" s="68" t="s">
        <v>18</v>
      </c>
      <c r="F8" s="68" t="s">
        <v>18</v>
      </c>
      <c r="G8">
        <v>5</v>
      </c>
      <c r="H8">
        <v>10</v>
      </c>
    </row>
    <row r="9" spans="1:8" x14ac:dyDescent="0.25">
      <c r="A9">
        <v>137</v>
      </c>
      <c r="B9" s="68" t="s">
        <v>205</v>
      </c>
      <c r="C9" s="68" t="s">
        <v>48</v>
      </c>
      <c r="D9">
        <v>268.20000000000005</v>
      </c>
      <c r="E9" s="68" t="s">
        <v>18</v>
      </c>
      <c r="F9" s="68" t="s">
        <v>18</v>
      </c>
      <c r="G9">
        <v>2</v>
      </c>
      <c r="H9">
        <v>10</v>
      </c>
    </row>
    <row r="10" spans="1:8" x14ac:dyDescent="0.25">
      <c r="A10">
        <v>52</v>
      </c>
      <c r="B10" s="68" t="s">
        <v>206</v>
      </c>
      <c r="C10" s="68" t="s">
        <v>16</v>
      </c>
      <c r="D10">
        <v>247.70000000000005</v>
      </c>
      <c r="E10" s="68" t="s">
        <v>18</v>
      </c>
      <c r="F10" s="68" t="s">
        <v>18</v>
      </c>
      <c r="H10">
        <v>10</v>
      </c>
    </row>
    <row r="11" spans="1:8" x14ac:dyDescent="0.25">
      <c r="A11">
        <v>160</v>
      </c>
      <c r="B11" s="68" t="s">
        <v>207</v>
      </c>
      <c r="C11" s="68" t="s">
        <v>48</v>
      </c>
      <c r="D11">
        <v>237.76999999999998</v>
      </c>
      <c r="E11" s="68" t="s">
        <v>200</v>
      </c>
      <c r="F11" s="68"/>
      <c r="H11">
        <v>10</v>
      </c>
    </row>
    <row r="12" spans="1:8" x14ac:dyDescent="0.25">
      <c r="A12">
        <v>107</v>
      </c>
      <c r="B12" s="68" t="s">
        <v>124</v>
      </c>
      <c r="C12" s="68" t="s">
        <v>16</v>
      </c>
      <c r="D12">
        <v>225.3</v>
      </c>
      <c r="E12" s="68" t="s">
        <v>18</v>
      </c>
      <c r="F12" s="68" t="s">
        <v>18</v>
      </c>
      <c r="H12">
        <v>10</v>
      </c>
    </row>
    <row r="13" spans="1:8" x14ac:dyDescent="0.25">
      <c r="A13">
        <v>117</v>
      </c>
      <c r="B13" s="68" t="s">
        <v>208</v>
      </c>
      <c r="C13" s="68" t="s">
        <v>16</v>
      </c>
      <c r="D13">
        <v>200.49999999999997</v>
      </c>
      <c r="E13" s="68" t="s">
        <v>18</v>
      </c>
      <c r="F13" s="68" t="s">
        <v>18</v>
      </c>
      <c r="G13">
        <v>9</v>
      </c>
      <c r="H13">
        <v>10</v>
      </c>
    </row>
    <row r="14" spans="1:8" x14ac:dyDescent="0.25">
      <c r="A14">
        <v>35</v>
      </c>
      <c r="B14" s="68" t="s">
        <v>209</v>
      </c>
      <c r="C14" s="68" t="s">
        <v>14</v>
      </c>
      <c r="D14">
        <v>193.29999999999995</v>
      </c>
      <c r="E14" s="68" t="s">
        <v>18</v>
      </c>
      <c r="F14" s="68" t="s">
        <v>18</v>
      </c>
      <c r="G14">
        <v>2</v>
      </c>
      <c r="H14">
        <v>10</v>
      </c>
    </row>
    <row r="15" spans="1:8" x14ac:dyDescent="0.25">
      <c r="A15">
        <v>140</v>
      </c>
      <c r="B15" s="68" t="s">
        <v>157</v>
      </c>
      <c r="C15" s="68" t="s">
        <v>22</v>
      </c>
      <c r="D15">
        <v>192.7</v>
      </c>
      <c r="E15" s="68" t="s">
        <v>200</v>
      </c>
      <c r="F15" s="68"/>
      <c r="H15">
        <v>10</v>
      </c>
    </row>
    <row r="16" spans="1:8" x14ac:dyDescent="0.25">
      <c r="A16">
        <v>122</v>
      </c>
      <c r="B16" s="68" t="s">
        <v>139</v>
      </c>
      <c r="C16" s="68" t="s">
        <v>10</v>
      </c>
      <c r="D16">
        <v>187.9</v>
      </c>
      <c r="E16" s="68" t="s">
        <v>18</v>
      </c>
      <c r="F16" s="68" t="s">
        <v>18</v>
      </c>
      <c r="H16">
        <v>10</v>
      </c>
    </row>
    <row r="17" spans="1:8" x14ac:dyDescent="0.25">
      <c r="A17">
        <v>33</v>
      </c>
      <c r="B17" s="68" t="s">
        <v>210</v>
      </c>
      <c r="C17" s="68" t="s">
        <v>16</v>
      </c>
      <c r="D17">
        <v>171.89999999999992</v>
      </c>
      <c r="E17" s="68" t="s">
        <v>18</v>
      </c>
      <c r="F17" s="68" t="s">
        <v>18</v>
      </c>
      <c r="H17">
        <v>10</v>
      </c>
    </row>
    <row r="18" spans="1:8" x14ac:dyDescent="0.25">
      <c r="A18">
        <v>81</v>
      </c>
      <c r="B18" s="68" t="s">
        <v>98</v>
      </c>
      <c r="C18" s="68" t="s">
        <v>14</v>
      </c>
      <c r="D18">
        <v>162.36999999999998</v>
      </c>
      <c r="E18" s="68" t="s">
        <v>18</v>
      </c>
      <c r="F18" s="68" t="s">
        <v>18</v>
      </c>
      <c r="G18">
        <v>5</v>
      </c>
      <c r="H18">
        <v>10</v>
      </c>
    </row>
    <row r="19" spans="1:8" x14ac:dyDescent="0.25">
      <c r="A19">
        <v>88</v>
      </c>
      <c r="B19" s="68" t="s">
        <v>211</v>
      </c>
      <c r="C19" s="68" t="s">
        <v>10</v>
      </c>
      <c r="D19">
        <v>157.63</v>
      </c>
      <c r="E19" s="68" t="s">
        <v>18</v>
      </c>
      <c r="F19" s="68"/>
      <c r="H19">
        <v>10</v>
      </c>
    </row>
    <row r="20" spans="1:8" x14ac:dyDescent="0.25">
      <c r="A20">
        <v>133</v>
      </c>
      <c r="B20" s="68" t="s">
        <v>150</v>
      </c>
      <c r="C20" s="68" t="s">
        <v>14</v>
      </c>
      <c r="D20">
        <v>146.79999999999998</v>
      </c>
      <c r="E20" s="68" t="s">
        <v>18</v>
      </c>
      <c r="F20" s="68" t="s">
        <v>18</v>
      </c>
      <c r="H20">
        <v>10</v>
      </c>
    </row>
    <row r="21" spans="1:8" x14ac:dyDescent="0.25">
      <c r="A21">
        <v>12</v>
      </c>
      <c r="B21" s="68" t="s">
        <v>212</v>
      </c>
      <c r="C21" s="68" t="s">
        <v>16</v>
      </c>
      <c r="D21">
        <v>138.59999999999997</v>
      </c>
      <c r="E21" s="68" t="s">
        <v>18</v>
      </c>
      <c r="F21" s="68"/>
      <c r="H21">
        <v>10</v>
      </c>
    </row>
    <row r="22" spans="1:8" x14ac:dyDescent="0.25">
      <c r="A22">
        <v>9</v>
      </c>
      <c r="B22" s="68" t="s">
        <v>23</v>
      </c>
      <c r="C22" s="68" t="s">
        <v>14</v>
      </c>
      <c r="D22">
        <v>135.6</v>
      </c>
      <c r="E22" s="68" t="s">
        <v>18</v>
      </c>
      <c r="F22" s="68" t="s">
        <v>200</v>
      </c>
      <c r="G22">
        <v>10</v>
      </c>
      <c r="H22">
        <v>10</v>
      </c>
    </row>
    <row r="23" spans="1:8" x14ac:dyDescent="0.25">
      <c r="A23">
        <v>80</v>
      </c>
      <c r="B23" s="68" t="s">
        <v>97</v>
      </c>
      <c r="C23" s="68" t="s">
        <v>22</v>
      </c>
      <c r="D23">
        <v>133.60000000000002</v>
      </c>
      <c r="E23" s="68" t="s">
        <v>18</v>
      </c>
      <c r="F23" s="68"/>
      <c r="H23">
        <v>10</v>
      </c>
    </row>
    <row r="24" spans="1:8" x14ac:dyDescent="0.25">
      <c r="A24">
        <v>30</v>
      </c>
      <c r="B24" s="68" t="s">
        <v>213</v>
      </c>
      <c r="C24" s="68" t="s">
        <v>22</v>
      </c>
      <c r="D24">
        <v>131.9</v>
      </c>
      <c r="E24" s="68" t="s">
        <v>200</v>
      </c>
      <c r="F24" s="68"/>
      <c r="H24">
        <v>10</v>
      </c>
    </row>
    <row r="25" spans="1:8" x14ac:dyDescent="0.25">
      <c r="A25">
        <v>99</v>
      </c>
      <c r="B25" s="68" t="s">
        <v>214</v>
      </c>
      <c r="C25" s="68" t="s">
        <v>16</v>
      </c>
      <c r="D25">
        <v>131.10000000000002</v>
      </c>
      <c r="E25" s="68" t="s">
        <v>18</v>
      </c>
      <c r="F25" s="68" t="s">
        <v>18</v>
      </c>
      <c r="H25">
        <v>10</v>
      </c>
    </row>
    <row r="26" spans="1:8" x14ac:dyDescent="0.25">
      <c r="A26">
        <v>144</v>
      </c>
      <c r="B26" s="68" t="s">
        <v>215</v>
      </c>
      <c r="C26" s="68" t="s">
        <v>14</v>
      </c>
      <c r="D26">
        <v>129.70000000000002</v>
      </c>
      <c r="E26" s="68" t="s">
        <v>18</v>
      </c>
      <c r="F26" s="68"/>
      <c r="G26">
        <v>2</v>
      </c>
      <c r="H26">
        <v>10</v>
      </c>
    </row>
    <row r="27" spans="1:8" x14ac:dyDescent="0.25">
      <c r="A27">
        <v>29</v>
      </c>
      <c r="B27" s="68" t="s">
        <v>45</v>
      </c>
      <c r="C27" s="68" t="s">
        <v>14</v>
      </c>
      <c r="D27">
        <v>129.29999999999998</v>
      </c>
      <c r="E27" s="68" t="s">
        <v>200</v>
      </c>
      <c r="F27" s="68"/>
      <c r="H27">
        <v>10</v>
      </c>
    </row>
    <row r="28" spans="1:8" x14ac:dyDescent="0.25">
      <c r="A28">
        <v>23</v>
      </c>
      <c r="B28" s="68" t="s">
        <v>216</v>
      </c>
      <c r="C28" s="68" t="s">
        <v>10</v>
      </c>
      <c r="D28">
        <v>116.28000000000002</v>
      </c>
      <c r="E28" s="68" t="s">
        <v>39</v>
      </c>
      <c r="F28" s="68" t="s">
        <v>18</v>
      </c>
      <c r="H28">
        <v>10</v>
      </c>
    </row>
    <row r="29" spans="1:8" x14ac:dyDescent="0.25">
      <c r="A29">
        <v>109</v>
      </c>
      <c r="B29" s="68" t="s">
        <v>126</v>
      </c>
      <c r="C29" s="68" t="s">
        <v>10</v>
      </c>
      <c r="D29">
        <v>114.49999999999999</v>
      </c>
      <c r="E29" s="68" t="s">
        <v>18</v>
      </c>
      <c r="F29" s="68"/>
      <c r="G29">
        <v>2</v>
      </c>
      <c r="H29">
        <v>10</v>
      </c>
    </row>
    <row r="30" spans="1:8" x14ac:dyDescent="0.25">
      <c r="A30">
        <v>17</v>
      </c>
      <c r="B30" s="68" t="s">
        <v>217</v>
      </c>
      <c r="C30" s="68" t="s">
        <v>10</v>
      </c>
      <c r="D30">
        <v>105.99999999999999</v>
      </c>
      <c r="E30" s="68" t="s">
        <v>18</v>
      </c>
      <c r="F30" s="68"/>
      <c r="G30">
        <v>2</v>
      </c>
      <c r="H30">
        <v>10</v>
      </c>
    </row>
    <row r="31" spans="1:8" x14ac:dyDescent="0.25">
      <c r="A31">
        <v>57</v>
      </c>
      <c r="B31" s="68" t="s">
        <v>218</v>
      </c>
      <c r="C31" s="68" t="s">
        <v>14</v>
      </c>
      <c r="D31">
        <v>104.80000000000003</v>
      </c>
      <c r="E31" s="68" t="s">
        <v>18</v>
      </c>
      <c r="F31" s="68"/>
      <c r="H31">
        <v>10</v>
      </c>
    </row>
    <row r="32" spans="1:8" x14ac:dyDescent="0.25">
      <c r="A32">
        <v>113</v>
      </c>
      <c r="B32" s="68" t="s">
        <v>130</v>
      </c>
      <c r="C32" s="68" t="s">
        <v>16</v>
      </c>
      <c r="D32">
        <v>101.10000000000002</v>
      </c>
      <c r="E32" s="68" t="s">
        <v>18</v>
      </c>
      <c r="F32" s="68" t="s">
        <v>18</v>
      </c>
      <c r="H32">
        <v>10</v>
      </c>
    </row>
    <row r="33" spans="1:8" x14ac:dyDescent="0.25">
      <c r="A33">
        <v>93</v>
      </c>
      <c r="B33" s="68" t="s">
        <v>110</v>
      </c>
      <c r="C33" s="68" t="s">
        <v>22</v>
      </c>
      <c r="D33">
        <v>99.6</v>
      </c>
      <c r="E33" s="68" t="s">
        <v>18</v>
      </c>
      <c r="F33" s="68"/>
      <c r="H33">
        <v>9</v>
      </c>
    </row>
    <row r="34" spans="1:8" x14ac:dyDescent="0.25">
      <c r="A34">
        <v>71</v>
      </c>
      <c r="B34" s="68" t="s">
        <v>219</v>
      </c>
      <c r="C34" s="68" t="s">
        <v>10</v>
      </c>
      <c r="D34">
        <v>94.100000000000009</v>
      </c>
      <c r="E34" s="68" t="s">
        <v>18</v>
      </c>
      <c r="F34" s="68"/>
      <c r="G34">
        <v>1</v>
      </c>
      <c r="H34">
        <v>9</v>
      </c>
    </row>
    <row r="35" spans="1:8" x14ac:dyDescent="0.25">
      <c r="A35">
        <v>70</v>
      </c>
      <c r="B35" s="68" t="s">
        <v>220</v>
      </c>
      <c r="C35" s="68" t="s">
        <v>10</v>
      </c>
      <c r="D35">
        <v>93.600000000000009</v>
      </c>
      <c r="E35" s="68" t="s">
        <v>18</v>
      </c>
      <c r="F35" s="68"/>
      <c r="G35">
        <v>2</v>
      </c>
      <c r="H35">
        <v>9</v>
      </c>
    </row>
    <row r="36" spans="1:8" x14ac:dyDescent="0.25">
      <c r="A36">
        <v>147</v>
      </c>
      <c r="B36" s="68" t="s">
        <v>221</v>
      </c>
      <c r="C36" s="68" t="s">
        <v>16</v>
      </c>
      <c r="D36">
        <v>81.8</v>
      </c>
      <c r="E36" s="68" t="s">
        <v>18</v>
      </c>
      <c r="F36" s="68"/>
      <c r="H36">
        <v>8</v>
      </c>
    </row>
    <row r="37" spans="1:8" x14ac:dyDescent="0.25">
      <c r="A37">
        <v>2</v>
      </c>
      <c r="B37" s="68" t="s">
        <v>11</v>
      </c>
      <c r="C37" s="68" t="s">
        <v>10</v>
      </c>
      <c r="D37">
        <v>81.7</v>
      </c>
      <c r="E37" s="68" t="s">
        <v>200</v>
      </c>
      <c r="F37" s="68"/>
      <c r="H37">
        <v>8</v>
      </c>
    </row>
    <row r="38" spans="1:8" x14ac:dyDescent="0.25">
      <c r="A38">
        <v>119</v>
      </c>
      <c r="B38" s="68" t="s">
        <v>136</v>
      </c>
      <c r="C38" s="68" t="s">
        <v>14</v>
      </c>
      <c r="D38">
        <v>78.2</v>
      </c>
      <c r="E38" s="68" t="s">
        <v>18</v>
      </c>
      <c r="F38" s="68"/>
      <c r="H38">
        <v>7</v>
      </c>
    </row>
    <row r="39" spans="1:8" x14ac:dyDescent="0.25">
      <c r="A39">
        <v>158</v>
      </c>
      <c r="B39" s="68" t="s">
        <v>176</v>
      </c>
      <c r="C39" s="68" t="s">
        <v>16</v>
      </c>
      <c r="D39">
        <v>61.8</v>
      </c>
      <c r="E39" s="68" t="s">
        <v>18</v>
      </c>
      <c r="F39" s="68"/>
      <c r="H39">
        <v>6</v>
      </c>
    </row>
    <row r="40" spans="1:8" x14ac:dyDescent="0.25">
      <c r="A40">
        <v>86</v>
      </c>
      <c r="B40" s="68" t="s">
        <v>103</v>
      </c>
      <c r="C40" s="68" t="s">
        <v>33</v>
      </c>
      <c r="D40">
        <v>61.400000000000006</v>
      </c>
      <c r="E40" s="68" t="s">
        <v>200</v>
      </c>
      <c r="F40" s="68"/>
      <c r="H40">
        <v>6</v>
      </c>
    </row>
    <row r="41" spans="1:8" x14ac:dyDescent="0.25">
      <c r="A41">
        <v>123</v>
      </c>
      <c r="B41" s="68" t="s">
        <v>222</v>
      </c>
      <c r="C41" s="68" t="s">
        <v>16</v>
      </c>
      <c r="D41">
        <v>61</v>
      </c>
      <c r="E41" s="68" t="s">
        <v>18</v>
      </c>
      <c r="F41" s="68"/>
      <c r="H41">
        <v>6</v>
      </c>
    </row>
    <row r="42" spans="1:8" x14ac:dyDescent="0.25">
      <c r="A42">
        <v>132</v>
      </c>
      <c r="B42" s="68" t="s">
        <v>149</v>
      </c>
      <c r="C42" s="68" t="s">
        <v>14</v>
      </c>
      <c r="D42">
        <v>60</v>
      </c>
      <c r="E42" s="68" t="s">
        <v>200</v>
      </c>
      <c r="F42" s="68"/>
      <c r="G42">
        <v>1</v>
      </c>
      <c r="H42">
        <v>6</v>
      </c>
    </row>
    <row r="43" spans="1:8" x14ac:dyDescent="0.25">
      <c r="A43">
        <v>5</v>
      </c>
      <c r="B43" s="68" t="s">
        <v>17</v>
      </c>
      <c r="C43" s="68" t="s">
        <v>16</v>
      </c>
      <c r="D43">
        <v>58.96</v>
      </c>
      <c r="E43" s="68" t="s">
        <v>18</v>
      </c>
      <c r="F43" s="68"/>
      <c r="H43">
        <v>5</v>
      </c>
    </row>
    <row r="44" spans="1:8" x14ac:dyDescent="0.25">
      <c r="A44">
        <v>92</v>
      </c>
      <c r="B44" s="68" t="s">
        <v>223</v>
      </c>
      <c r="C44" s="68" t="s">
        <v>16</v>
      </c>
      <c r="D44">
        <v>58.7</v>
      </c>
      <c r="E44" s="68" t="s">
        <v>18</v>
      </c>
      <c r="F44" s="68"/>
      <c r="G44">
        <v>1</v>
      </c>
      <c r="H44">
        <v>5</v>
      </c>
    </row>
    <row r="45" spans="1:8" x14ac:dyDescent="0.25">
      <c r="A45">
        <v>28</v>
      </c>
      <c r="B45" s="68" t="s">
        <v>224</v>
      </c>
      <c r="C45" s="68" t="s">
        <v>16</v>
      </c>
      <c r="D45">
        <v>54.500000000000007</v>
      </c>
      <c r="E45" s="68" t="s">
        <v>18</v>
      </c>
      <c r="F45" s="68"/>
      <c r="H45">
        <v>5</v>
      </c>
    </row>
    <row r="46" spans="1:8" x14ac:dyDescent="0.25">
      <c r="A46">
        <v>58</v>
      </c>
      <c r="B46" s="68" t="s">
        <v>75</v>
      </c>
      <c r="C46" s="68" t="s">
        <v>16</v>
      </c>
      <c r="D46">
        <v>52.8</v>
      </c>
      <c r="E46" s="68" t="s">
        <v>18</v>
      </c>
      <c r="F46" s="68"/>
      <c r="H46">
        <v>5</v>
      </c>
    </row>
    <row r="47" spans="1:8" x14ac:dyDescent="0.25">
      <c r="A47">
        <v>159</v>
      </c>
      <c r="B47" s="68" t="s">
        <v>177</v>
      </c>
      <c r="C47" s="68" t="s">
        <v>16</v>
      </c>
      <c r="D47">
        <v>48.2</v>
      </c>
      <c r="E47" s="68"/>
      <c r="F47" s="68"/>
      <c r="G47">
        <v>1</v>
      </c>
      <c r="H47">
        <v>4</v>
      </c>
    </row>
    <row r="48" spans="1:8" x14ac:dyDescent="0.25">
      <c r="A48">
        <v>4</v>
      </c>
      <c r="B48" s="68" t="s">
        <v>225</v>
      </c>
      <c r="C48" s="68" t="s">
        <v>16</v>
      </c>
      <c r="D48">
        <v>46.1</v>
      </c>
      <c r="E48" s="68"/>
      <c r="F48" s="68"/>
      <c r="H48">
        <v>4</v>
      </c>
    </row>
    <row r="49" spans="1:8" x14ac:dyDescent="0.25">
      <c r="A49">
        <v>102</v>
      </c>
      <c r="B49" s="68" t="s">
        <v>119</v>
      </c>
      <c r="C49" s="68" t="s">
        <v>10</v>
      </c>
      <c r="D49">
        <v>42.300000000000004</v>
      </c>
      <c r="E49" s="68"/>
      <c r="F49" s="68"/>
      <c r="H49">
        <v>4</v>
      </c>
    </row>
    <row r="50" spans="1:8" x14ac:dyDescent="0.25">
      <c r="A50">
        <v>63</v>
      </c>
      <c r="B50" s="68" t="s">
        <v>226</v>
      </c>
      <c r="C50" s="68" t="s">
        <v>22</v>
      </c>
      <c r="D50">
        <v>42.199999999999996</v>
      </c>
      <c r="E50" s="68"/>
      <c r="F50" s="68"/>
      <c r="G50">
        <v>1</v>
      </c>
      <c r="H50">
        <v>4</v>
      </c>
    </row>
    <row r="51" spans="1:8" x14ac:dyDescent="0.25">
      <c r="A51">
        <v>87</v>
      </c>
      <c r="B51" s="68" t="s">
        <v>227</v>
      </c>
      <c r="C51" s="68" t="s">
        <v>16</v>
      </c>
      <c r="D51">
        <v>41.4</v>
      </c>
      <c r="E51" s="68" t="s">
        <v>18</v>
      </c>
      <c r="F51" s="68"/>
      <c r="H51">
        <v>4</v>
      </c>
    </row>
    <row r="52" spans="1:8" x14ac:dyDescent="0.25">
      <c r="A52">
        <v>155</v>
      </c>
      <c r="B52" s="68" t="s">
        <v>172</v>
      </c>
      <c r="C52" s="68" t="s">
        <v>14</v>
      </c>
      <c r="D52">
        <v>38.200000000000003</v>
      </c>
      <c r="E52" s="68"/>
      <c r="F52" s="68"/>
      <c r="H52">
        <v>3</v>
      </c>
    </row>
    <row r="53" spans="1:8" x14ac:dyDescent="0.25">
      <c r="A53">
        <v>106</v>
      </c>
      <c r="B53" s="68" t="s">
        <v>123</v>
      </c>
      <c r="C53" s="68" t="s">
        <v>16</v>
      </c>
      <c r="D53">
        <v>37.200000000000003</v>
      </c>
      <c r="E53" s="68"/>
      <c r="F53" s="68"/>
      <c r="H53">
        <v>3</v>
      </c>
    </row>
    <row r="54" spans="1:8" x14ac:dyDescent="0.25">
      <c r="A54">
        <v>153</v>
      </c>
      <c r="B54" s="68" t="s">
        <v>228</v>
      </c>
      <c r="C54" s="68" t="s">
        <v>33</v>
      </c>
      <c r="D54">
        <v>34.700000000000003</v>
      </c>
      <c r="E54" s="68"/>
      <c r="F54" s="68"/>
      <c r="H54">
        <v>3</v>
      </c>
    </row>
    <row r="55" spans="1:8" x14ac:dyDescent="0.25">
      <c r="A55">
        <v>21</v>
      </c>
      <c r="B55" s="68" t="s">
        <v>36</v>
      </c>
      <c r="C55" s="68" t="s">
        <v>10</v>
      </c>
      <c r="D55">
        <v>34.5</v>
      </c>
      <c r="E55" s="68"/>
      <c r="F55" s="68"/>
      <c r="H55">
        <v>3</v>
      </c>
    </row>
    <row r="56" spans="1:8" x14ac:dyDescent="0.25">
      <c r="A56">
        <v>131</v>
      </c>
      <c r="B56" s="68" t="s">
        <v>229</v>
      </c>
      <c r="C56" s="68" t="s">
        <v>10</v>
      </c>
      <c r="D56">
        <v>30.500000000000007</v>
      </c>
      <c r="E56" s="68"/>
      <c r="F56" s="68"/>
      <c r="H56">
        <v>3</v>
      </c>
    </row>
    <row r="57" spans="1:8" x14ac:dyDescent="0.25">
      <c r="A57">
        <v>120</v>
      </c>
      <c r="B57" s="68" t="s">
        <v>230</v>
      </c>
      <c r="C57" s="68" t="s">
        <v>14</v>
      </c>
      <c r="D57">
        <v>28.400000000000002</v>
      </c>
      <c r="E57" s="68"/>
      <c r="F57" s="68"/>
      <c r="H57">
        <v>2</v>
      </c>
    </row>
    <row r="58" spans="1:8" x14ac:dyDescent="0.25">
      <c r="A58">
        <v>118</v>
      </c>
      <c r="B58" s="68" t="s">
        <v>135</v>
      </c>
      <c r="C58" s="68" t="s">
        <v>14</v>
      </c>
      <c r="D58">
        <v>27.3</v>
      </c>
      <c r="E58" s="68"/>
      <c r="F58" s="68"/>
      <c r="H58">
        <v>2</v>
      </c>
    </row>
    <row r="59" spans="1:8" x14ac:dyDescent="0.25">
      <c r="A59">
        <v>154</v>
      </c>
      <c r="B59" s="68" t="s">
        <v>171</v>
      </c>
      <c r="C59" s="68" t="s">
        <v>14</v>
      </c>
      <c r="D59">
        <v>23</v>
      </c>
      <c r="E59" s="68"/>
      <c r="F59" s="68"/>
      <c r="H59">
        <v>2</v>
      </c>
    </row>
    <row r="60" spans="1:8" x14ac:dyDescent="0.25">
      <c r="A60">
        <v>67</v>
      </c>
      <c r="B60" s="68" t="s">
        <v>84</v>
      </c>
      <c r="C60" s="68" t="s">
        <v>10</v>
      </c>
      <c r="D60">
        <v>22.4</v>
      </c>
      <c r="E60" s="68"/>
      <c r="F60" s="68"/>
      <c r="H60">
        <v>2</v>
      </c>
    </row>
    <row r="61" spans="1:8" x14ac:dyDescent="0.25">
      <c r="A61">
        <v>60</v>
      </c>
      <c r="B61" s="68" t="s">
        <v>77</v>
      </c>
      <c r="C61" s="68" t="s">
        <v>10</v>
      </c>
      <c r="D61">
        <v>18.100000000000001</v>
      </c>
      <c r="E61" s="68"/>
      <c r="F61" s="68"/>
      <c r="H61">
        <v>1</v>
      </c>
    </row>
    <row r="62" spans="1:8" x14ac:dyDescent="0.25">
      <c r="A62">
        <v>64</v>
      </c>
      <c r="B62" s="68" t="s">
        <v>231</v>
      </c>
      <c r="C62" s="68" t="s">
        <v>16</v>
      </c>
      <c r="D62">
        <v>17.3</v>
      </c>
      <c r="E62" s="68"/>
      <c r="F62" s="68"/>
      <c r="H62">
        <v>1</v>
      </c>
    </row>
    <row r="63" spans="1:8" x14ac:dyDescent="0.25">
      <c r="A63">
        <v>37</v>
      </c>
      <c r="B63" s="68" t="s">
        <v>232</v>
      </c>
      <c r="C63" s="68" t="s">
        <v>16</v>
      </c>
      <c r="D63">
        <v>12.8</v>
      </c>
      <c r="E63" s="68"/>
      <c r="F63" s="68"/>
      <c r="H63">
        <v>1</v>
      </c>
    </row>
    <row r="64" spans="1:8" x14ac:dyDescent="0.25">
      <c r="A64">
        <v>54</v>
      </c>
      <c r="B64" s="68" t="s">
        <v>71</v>
      </c>
      <c r="C64" s="68" t="s">
        <v>22</v>
      </c>
      <c r="D64">
        <v>10.5</v>
      </c>
      <c r="E64" s="68"/>
      <c r="F64" s="68"/>
      <c r="H64">
        <v>1</v>
      </c>
    </row>
    <row r="65" spans="1:8" x14ac:dyDescent="0.25">
      <c r="A65">
        <v>46</v>
      </c>
      <c r="B65" s="68" t="s">
        <v>233</v>
      </c>
      <c r="C65" s="68" t="s">
        <v>14</v>
      </c>
      <c r="D65">
        <v>10.3</v>
      </c>
      <c r="E65" s="68"/>
      <c r="F65" s="68"/>
      <c r="H65">
        <v>1</v>
      </c>
    </row>
    <row r="66" spans="1:8" x14ac:dyDescent="0.25">
      <c r="A66">
        <v>97</v>
      </c>
      <c r="B66" s="68" t="s">
        <v>234</v>
      </c>
      <c r="C66" s="68" t="s">
        <v>10</v>
      </c>
      <c r="D66">
        <v>10.199999999999999</v>
      </c>
      <c r="E66" s="68"/>
      <c r="F66" s="68"/>
      <c r="H66">
        <v>1</v>
      </c>
    </row>
    <row r="67" spans="1:8" x14ac:dyDescent="0.25">
      <c r="A67">
        <v>121</v>
      </c>
      <c r="B67" s="68" t="s">
        <v>138</v>
      </c>
      <c r="C67" s="68" t="s">
        <v>14</v>
      </c>
      <c r="D67">
        <v>9</v>
      </c>
      <c r="E67" s="68"/>
      <c r="F67" s="68"/>
      <c r="H67">
        <v>0</v>
      </c>
    </row>
    <row r="68" spans="1:8" x14ac:dyDescent="0.25">
      <c r="A68">
        <v>146</v>
      </c>
      <c r="B68" s="68" t="s">
        <v>235</v>
      </c>
      <c r="C68" s="68" t="s">
        <v>10</v>
      </c>
      <c r="D68">
        <v>8.6999999999999993</v>
      </c>
      <c r="E68" s="68"/>
      <c r="F68" s="68"/>
      <c r="H68">
        <v>0</v>
      </c>
    </row>
    <row r="69" spans="1:8" x14ac:dyDescent="0.25">
      <c r="A69">
        <v>114</v>
      </c>
      <c r="B69" s="68" t="s">
        <v>236</v>
      </c>
      <c r="C69" s="68" t="s">
        <v>33</v>
      </c>
      <c r="D69">
        <v>7.9</v>
      </c>
      <c r="E69" s="68"/>
      <c r="F69" s="68"/>
      <c r="H69">
        <v>0</v>
      </c>
    </row>
    <row r="70" spans="1:8" x14ac:dyDescent="0.25">
      <c r="A70">
        <v>77</v>
      </c>
      <c r="B70" s="68" t="s">
        <v>94</v>
      </c>
      <c r="C70" s="68" t="s">
        <v>22</v>
      </c>
      <c r="D70">
        <v>7.6000000000000005</v>
      </c>
      <c r="E70" s="68"/>
      <c r="F70" s="68"/>
      <c r="H70">
        <v>0</v>
      </c>
    </row>
    <row r="71" spans="1:8" x14ac:dyDescent="0.25">
      <c r="A71">
        <v>156</v>
      </c>
      <c r="B71" s="68" t="s">
        <v>237</v>
      </c>
      <c r="C71" s="68" t="s">
        <v>22</v>
      </c>
      <c r="D71">
        <v>7.6</v>
      </c>
      <c r="E71" s="68"/>
      <c r="F71" s="68"/>
      <c r="H71">
        <v>0</v>
      </c>
    </row>
    <row r="72" spans="1:8" x14ac:dyDescent="0.25">
      <c r="A72">
        <v>108</v>
      </c>
      <c r="B72" s="68" t="s">
        <v>125</v>
      </c>
      <c r="C72" s="68" t="s">
        <v>10</v>
      </c>
      <c r="D72">
        <v>6.3000000000000007</v>
      </c>
      <c r="E72" s="68"/>
      <c r="F72" s="68"/>
      <c r="H72">
        <v>0</v>
      </c>
    </row>
    <row r="73" spans="1:8" x14ac:dyDescent="0.25">
      <c r="A73">
        <v>79</v>
      </c>
      <c r="B73" s="68" t="s">
        <v>96</v>
      </c>
      <c r="C73" s="68" t="s">
        <v>14</v>
      </c>
      <c r="D73">
        <v>5.6</v>
      </c>
      <c r="E73" s="68"/>
      <c r="F73" s="68"/>
      <c r="H73">
        <v>0</v>
      </c>
    </row>
    <row r="74" spans="1:8" x14ac:dyDescent="0.25">
      <c r="A74">
        <v>59</v>
      </c>
      <c r="B74" s="68" t="s">
        <v>76</v>
      </c>
      <c r="C74" s="68" t="s">
        <v>16</v>
      </c>
      <c r="D74">
        <v>5.4</v>
      </c>
      <c r="E74" s="68"/>
      <c r="F74" s="68"/>
      <c r="H74">
        <v>0</v>
      </c>
    </row>
    <row r="75" spans="1:8" x14ac:dyDescent="0.25">
      <c r="A75">
        <v>82</v>
      </c>
      <c r="B75" s="68" t="s">
        <v>238</v>
      </c>
      <c r="C75" s="68" t="s">
        <v>10</v>
      </c>
      <c r="D75">
        <v>3.1</v>
      </c>
      <c r="E75" s="68"/>
      <c r="F75" s="68"/>
      <c r="H75">
        <v>0</v>
      </c>
    </row>
    <row r="76" spans="1:8" x14ac:dyDescent="0.25">
      <c r="A76">
        <v>149</v>
      </c>
      <c r="B76" s="68" t="s">
        <v>166</v>
      </c>
      <c r="C76" s="68" t="s">
        <v>10</v>
      </c>
      <c r="D76">
        <v>2.6</v>
      </c>
      <c r="E76" s="68"/>
      <c r="F76" s="68"/>
      <c r="H76">
        <v>0</v>
      </c>
    </row>
    <row r="77" spans="1:8" x14ac:dyDescent="0.25">
      <c r="A77">
        <v>136</v>
      </c>
      <c r="B77" s="68" t="s">
        <v>239</v>
      </c>
      <c r="C77" s="68" t="s">
        <v>16</v>
      </c>
      <c r="D77">
        <v>2.1</v>
      </c>
      <c r="E77" s="68"/>
      <c r="F77" s="68"/>
      <c r="H77">
        <v>0</v>
      </c>
    </row>
    <row r="78" spans="1:8" x14ac:dyDescent="0.25">
      <c r="A78">
        <v>85</v>
      </c>
      <c r="B78" s="68" t="s">
        <v>102</v>
      </c>
      <c r="C78" s="68" t="s">
        <v>16</v>
      </c>
      <c r="D78">
        <v>2</v>
      </c>
      <c r="E78" s="68"/>
      <c r="F78" s="68"/>
      <c r="H78">
        <v>0</v>
      </c>
    </row>
    <row r="79" spans="1:8" x14ac:dyDescent="0.25">
      <c r="A79">
        <v>110</v>
      </c>
      <c r="B79" s="68" t="s">
        <v>127</v>
      </c>
      <c r="C79" s="68" t="s">
        <v>10</v>
      </c>
      <c r="D79">
        <v>1.8</v>
      </c>
      <c r="E79" s="68"/>
      <c r="F79" s="68"/>
      <c r="H79">
        <v>0</v>
      </c>
    </row>
    <row r="80" spans="1:8" x14ac:dyDescent="0.25">
      <c r="A80">
        <v>40</v>
      </c>
      <c r="B80" s="68" t="s">
        <v>57</v>
      </c>
      <c r="C80" s="68" t="s">
        <v>10</v>
      </c>
      <c r="D80">
        <v>1.6</v>
      </c>
      <c r="E80" s="68"/>
      <c r="F80" s="68"/>
      <c r="H80">
        <v>0</v>
      </c>
    </row>
    <row r="81" spans="1:8" x14ac:dyDescent="0.25">
      <c r="A81">
        <v>126</v>
      </c>
      <c r="B81" s="68" t="s">
        <v>143</v>
      </c>
      <c r="C81" s="68" t="s">
        <v>14</v>
      </c>
      <c r="D81">
        <v>1.6</v>
      </c>
      <c r="E81" s="68"/>
      <c r="F81" s="68"/>
      <c r="H81">
        <v>0</v>
      </c>
    </row>
    <row r="82" spans="1:8" x14ac:dyDescent="0.25">
      <c r="A82">
        <v>68</v>
      </c>
      <c r="B82" s="68" t="s">
        <v>85</v>
      </c>
      <c r="C82" s="68" t="s">
        <v>10</v>
      </c>
      <c r="D82">
        <v>1</v>
      </c>
      <c r="E82" s="68"/>
      <c r="F82" s="68"/>
      <c r="H82">
        <v>0</v>
      </c>
    </row>
    <row r="83" spans="1:8" x14ac:dyDescent="0.25">
      <c r="A83">
        <v>127</v>
      </c>
      <c r="B83" s="68" t="s">
        <v>144</v>
      </c>
      <c r="C83" s="68" t="s">
        <v>14</v>
      </c>
      <c r="D83">
        <v>1</v>
      </c>
      <c r="E83" s="68"/>
      <c r="F83" s="68"/>
      <c r="H83">
        <v>0</v>
      </c>
    </row>
    <row r="84" spans="1:8" x14ac:dyDescent="0.25">
      <c r="A84">
        <v>43</v>
      </c>
      <c r="B84" s="68" t="s">
        <v>60</v>
      </c>
      <c r="C84" s="68" t="s">
        <v>14</v>
      </c>
      <c r="D84">
        <v>0.3</v>
      </c>
      <c r="E84" s="68"/>
      <c r="F84" s="68"/>
      <c r="H84">
        <v>0</v>
      </c>
    </row>
    <row r="85" spans="1:8" x14ac:dyDescent="0.25">
      <c r="A85">
        <v>56</v>
      </c>
      <c r="B85" s="68" t="s">
        <v>73</v>
      </c>
      <c r="C85" s="68" t="s">
        <v>14</v>
      </c>
      <c r="D85">
        <v>0.3</v>
      </c>
      <c r="E85" s="68"/>
      <c r="F85" s="68"/>
      <c r="H85">
        <v>0</v>
      </c>
    </row>
    <row r="86" spans="1:8" x14ac:dyDescent="0.25">
      <c r="A86">
        <v>1</v>
      </c>
      <c r="B86" s="68" t="s">
        <v>240</v>
      </c>
      <c r="C86" s="68" t="s">
        <v>10</v>
      </c>
      <c r="D86">
        <v>0</v>
      </c>
      <c r="E86" s="68"/>
      <c r="F86" s="68"/>
      <c r="H86">
        <v>0</v>
      </c>
    </row>
    <row r="87" spans="1:8" x14ac:dyDescent="0.25">
      <c r="A87">
        <v>3</v>
      </c>
      <c r="B87" s="68" t="s">
        <v>241</v>
      </c>
      <c r="C87" s="68" t="s">
        <v>14</v>
      </c>
      <c r="D87">
        <v>0</v>
      </c>
      <c r="E87" s="68"/>
      <c r="F87" s="68"/>
      <c r="H87">
        <v>0</v>
      </c>
    </row>
    <row r="88" spans="1:8" x14ac:dyDescent="0.25">
      <c r="A88">
        <v>6</v>
      </c>
      <c r="B88" s="68" t="s">
        <v>19</v>
      </c>
      <c r="C88" s="68" t="s">
        <v>10</v>
      </c>
      <c r="D88">
        <v>0</v>
      </c>
      <c r="E88" s="68"/>
      <c r="F88" s="68"/>
      <c r="H88">
        <v>0</v>
      </c>
    </row>
    <row r="89" spans="1:8" x14ac:dyDescent="0.25">
      <c r="A89">
        <v>7</v>
      </c>
      <c r="B89" s="68" t="s">
        <v>242</v>
      </c>
      <c r="C89" s="68" t="s">
        <v>16</v>
      </c>
      <c r="D89">
        <v>0</v>
      </c>
      <c r="E89" s="68"/>
      <c r="F89" s="68"/>
      <c r="H89">
        <v>0</v>
      </c>
    </row>
    <row r="90" spans="1:8" x14ac:dyDescent="0.25">
      <c r="A90">
        <v>8</v>
      </c>
      <c r="B90" s="68" t="s">
        <v>243</v>
      </c>
      <c r="C90" s="68" t="s">
        <v>22</v>
      </c>
      <c r="D90">
        <v>0</v>
      </c>
      <c r="E90" s="68"/>
      <c r="F90" s="68"/>
      <c r="H90">
        <v>0</v>
      </c>
    </row>
    <row r="91" spans="1:8" x14ac:dyDescent="0.25">
      <c r="A91">
        <v>10</v>
      </c>
      <c r="B91" s="68" t="s">
        <v>244</v>
      </c>
      <c r="C91" s="68" t="s">
        <v>10</v>
      </c>
      <c r="D91">
        <v>0</v>
      </c>
      <c r="E91" s="68"/>
      <c r="F91" s="68"/>
      <c r="H91">
        <v>0</v>
      </c>
    </row>
    <row r="92" spans="1:8" x14ac:dyDescent="0.25">
      <c r="A92">
        <v>11</v>
      </c>
      <c r="B92" s="68" t="s">
        <v>25</v>
      </c>
      <c r="C92" s="68" t="s">
        <v>10</v>
      </c>
      <c r="D92">
        <v>0</v>
      </c>
      <c r="E92" s="68"/>
      <c r="F92" s="68"/>
      <c r="H92">
        <v>0</v>
      </c>
    </row>
    <row r="93" spans="1:8" x14ac:dyDescent="0.25">
      <c r="A93">
        <v>13</v>
      </c>
      <c r="B93" s="68" t="s">
        <v>245</v>
      </c>
      <c r="C93" s="68" t="s">
        <v>14</v>
      </c>
      <c r="D93">
        <v>0</v>
      </c>
      <c r="E93" s="68"/>
      <c r="F93" s="68"/>
      <c r="H93">
        <v>0</v>
      </c>
    </row>
    <row r="94" spans="1:8" x14ac:dyDescent="0.25">
      <c r="A94">
        <v>14</v>
      </c>
      <c r="B94" s="68" t="s">
        <v>246</v>
      </c>
      <c r="C94" s="68" t="s">
        <v>14</v>
      </c>
      <c r="D94">
        <v>0</v>
      </c>
      <c r="E94" s="68"/>
      <c r="F94" s="68"/>
      <c r="H94">
        <v>0</v>
      </c>
    </row>
    <row r="95" spans="1:8" x14ac:dyDescent="0.25">
      <c r="A95">
        <v>15</v>
      </c>
      <c r="B95" s="68" t="s">
        <v>247</v>
      </c>
      <c r="C95" s="68" t="s">
        <v>10</v>
      </c>
      <c r="D95">
        <v>0</v>
      </c>
      <c r="E95" s="68"/>
      <c r="F95" s="68"/>
      <c r="H95">
        <v>0</v>
      </c>
    </row>
    <row r="96" spans="1:8" x14ac:dyDescent="0.25">
      <c r="A96">
        <v>16</v>
      </c>
      <c r="B96" s="68" t="s">
        <v>248</v>
      </c>
      <c r="C96" s="68" t="s">
        <v>14</v>
      </c>
      <c r="D96">
        <v>0</v>
      </c>
      <c r="E96" s="68"/>
      <c r="F96" s="68"/>
      <c r="H96">
        <v>0</v>
      </c>
    </row>
    <row r="97" spans="1:8" x14ac:dyDescent="0.25">
      <c r="A97">
        <v>18</v>
      </c>
      <c r="B97" s="68" t="s">
        <v>32</v>
      </c>
      <c r="C97" s="68" t="s">
        <v>33</v>
      </c>
      <c r="D97">
        <v>0</v>
      </c>
      <c r="E97" s="68"/>
      <c r="F97" s="68"/>
      <c r="H97">
        <v>0</v>
      </c>
    </row>
    <row r="98" spans="1:8" x14ac:dyDescent="0.25">
      <c r="A98">
        <v>19</v>
      </c>
      <c r="B98" s="68" t="s">
        <v>249</v>
      </c>
      <c r="C98" s="68" t="s">
        <v>10</v>
      </c>
      <c r="D98">
        <v>0</v>
      </c>
      <c r="E98" s="68"/>
      <c r="F98" s="68"/>
      <c r="H98">
        <v>0</v>
      </c>
    </row>
    <row r="99" spans="1:8" x14ac:dyDescent="0.25">
      <c r="A99">
        <v>20</v>
      </c>
      <c r="B99" s="68" t="s">
        <v>250</v>
      </c>
      <c r="C99" s="68" t="s">
        <v>22</v>
      </c>
      <c r="D99">
        <v>0</v>
      </c>
      <c r="E99" s="68"/>
      <c r="F99" s="68"/>
      <c r="H99">
        <v>0</v>
      </c>
    </row>
    <row r="100" spans="1:8" x14ac:dyDescent="0.25">
      <c r="A100">
        <v>22</v>
      </c>
      <c r="B100" s="68" t="s">
        <v>251</v>
      </c>
      <c r="C100" s="68" t="s">
        <v>33</v>
      </c>
      <c r="D100">
        <v>0</v>
      </c>
      <c r="E100" s="68"/>
      <c r="F100" s="68"/>
      <c r="H100">
        <v>0</v>
      </c>
    </row>
    <row r="101" spans="1:8" x14ac:dyDescent="0.25">
      <c r="A101">
        <v>24</v>
      </c>
      <c r="B101" s="68" t="s">
        <v>40</v>
      </c>
      <c r="C101" s="68" t="s">
        <v>14</v>
      </c>
      <c r="D101">
        <v>0</v>
      </c>
      <c r="E101" s="68"/>
      <c r="F101" s="68"/>
      <c r="H101">
        <v>0</v>
      </c>
    </row>
    <row r="102" spans="1:8" x14ac:dyDescent="0.25">
      <c r="A102">
        <v>25</v>
      </c>
      <c r="B102" s="68" t="s">
        <v>41</v>
      </c>
      <c r="C102" s="68" t="s">
        <v>22</v>
      </c>
      <c r="D102">
        <v>0</v>
      </c>
      <c r="E102" s="68"/>
      <c r="F102" s="68"/>
      <c r="H102">
        <v>0</v>
      </c>
    </row>
    <row r="103" spans="1:8" x14ac:dyDescent="0.25">
      <c r="A103">
        <v>26</v>
      </c>
      <c r="B103" s="68" t="s">
        <v>252</v>
      </c>
      <c r="C103" s="68" t="s">
        <v>33</v>
      </c>
      <c r="D103">
        <v>0</v>
      </c>
      <c r="E103" s="68"/>
      <c r="F103" s="68"/>
      <c r="H103">
        <v>0</v>
      </c>
    </row>
    <row r="104" spans="1:8" x14ac:dyDescent="0.25">
      <c r="A104">
        <v>27</v>
      </c>
      <c r="B104" s="68" t="s">
        <v>43</v>
      </c>
      <c r="C104" s="68" t="s">
        <v>14</v>
      </c>
      <c r="D104">
        <v>0</v>
      </c>
      <c r="E104" s="68"/>
      <c r="F104" s="68"/>
      <c r="H104">
        <v>0</v>
      </c>
    </row>
    <row r="105" spans="1:8" x14ac:dyDescent="0.25">
      <c r="A105">
        <v>31</v>
      </c>
      <c r="B105" s="68" t="s">
        <v>253</v>
      </c>
      <c r="C105" s="68" t="s">
        <v>48</v>
      </c>
      <c r="D105">
        <v>0</v>
      </c>
      <c r="E105" s="68"/>
      <c r="F105" s="68"/>
      <c r="H105">
        <v>0</v>
      </c>
    </row>
    <row r="106" spans="1:8" x14ac:dyDescent="0.25">
      <c r="A106">
        <v>32</v>
      </c>
      <c r="B106" s="68" t="s">
        <v>49</v>
      </c>
      <c r="C106" s="68" t="s">
        <v>10</v>
      </c>
      <c r="D106">
        <v>0</v>
      </c>
      <c r="E106" s="68"/>
      <c r="F106" s="68"/>
      <c r="H106">
        <v>0</v>
      </c>
    </row>
    <row r="107" spans="1:8" x14ac:dyDescent="0.25">
      <c r="A107">
        <v>34</v>
      </c>
      <c r="B107" s="68" t="s">
        <v>254</v>
      </c>
      <c r="C107" s="68" t="s">
        <v>10</v>
      </c>
      <c r="D107">
        <v>0</v>
      </c>
      <c r="E107" s="68"/>
      <c r="F107" s="68"/>
      <c r="H107">
        <v>0</v>
      </c>
    </row>
    <row r="108" spans="1:8" x14ac:dyDescent="0.25">
      <c r="A108">
        <v>36</v>
      </c>
      <c r="B108" s="68" t="s">
        <v>255</v>
      </c>
      <c r="C108" s="68" t="s">
        <v>16</v>
      </c>
      <c r="D108">
        <v>0</v>
      </c>
      <c r="E108" s="68"/>
      <c r="F108" s="68"/>
      <c r="H108">
        <v>0</v>
      </c>
    </row>
    <row r="109" spans="1:8" x14ac:dyDescent="0.25">
      <c r="A109">
        <v>39</v>
      </c>
      <c r="B109" s="68" t="s">
        <v>256</v>
      </c>
      <c r="C109" s="68" t="s">
        <v>22</v>
      </c>
      <c r="D109">
        <v>0</v>
      </c>
      <c r="E109" s="68"/>
      <c r="F109" s="68"/>
      <c r="H109">
        <v>0</v>
      </c>
    </row>
    <row r="110" spans="1:8" x14ac:dyDescent="0.25">
      <c r="A110">
        <v>41</v>
      </c>
      <c r="B110" s="68" t="s">
        <v>58</v>
      </c>
      <c r="C110" s="68" t="s">
        <v>10</v>
      </c>
      <c r="D110">
        <v>0</v>
      </c>
      <c r="E110" s="68"/>
      <c r="F110" s="68"/>
      <c r="H110">
        <v>0</v>
      </c>
    </row>
    <row r="111" spans="1:8" x14ac:dyDescent="0.25">
      <c r="A111">
        <v>42</v>
      </c>
      <c r="B111" s="68" t="s">
        <v>59</v>
      </c>
      <c r="C111" s="68" t="s">
        <v>14</v>
      </c>
      <c r="D111">
        <v>0</v>
      </c>
      <c r="E111" s="68"/>
      <c r="F111" s="68"/>
      <c r="H111">
        <v>0</v>
      </c>
    </row>
    <row r="112" spans="1:8" x14ac:dyDescent="0.25">
      <c r="A112">
        <v>44</v>
      </c>
      <c r="B112" s="68" t="s">
        <v>61</v>
      </c>
      <c r="C112" s="68" t="s">
        <v>48</v>
      </c>
      <c r="D112">
        <v>0</v>
      </c>
      <c r="E112" s="68"/>
      <c r="F112" s="68"/>
      <c r="H112">
        <v>0</v>
      </c>
    </row>
    <row r="113" spans="1:8" x14ac:dyDescent="0.25">
      <c r="A113">
        <v>45</v>
      </c>
      <c r="B113" s="68" t="s">
        <v>257</v>
      </c>
      <c r="C113" s="68" t="s">
        <v>22</v>
      </c>
      <c r="D113">
        <v>0</v>
      </c>
      <c r="E113" s="68"/>
      <c r="F113" s="68"/>
      <c r="H113">
        <v>0</v>
      </c>
    </row>
    <row r="114" spans="1:8" x14ac:dyDescent="0.25">
      <c r="A114">
        <v>47</v>
      </c>
      <c r="B114" s="68" t="s">
        <v>258</v>
      </c>
      <c r="C114" s="68" t="s">
        <v>10</v>
      </c>
      <c r="D114">
        <v>0</v>
      </c>
      <c r="E114" s="68"/>
      <c r="F114" s="68"/>
      <c r="H114">
        <v>0</v>
      </c>
    </row>
    <row r="115" spans="1:8" x14ac:dyDescent="0.25">
      <c r="A115">
        <v>48</v>
      </c>
      <c r="B115" s="68" t="s">
        <v>65</v>
      </c>
      <c r="C115" s="68" t="s">
        <v>10</v>
      </c>
      <c r="D115">
        <v>0</v>
      </c>
      <c r="E115" s="68"/>
      <c r="F115" s="68"/>
      <c r="H115">
        <v>0</v>
      </c>
    </row>
    <row r="116" spans="1:8" x14ac:dyDescent="0.25">
      <c r="A116">
        <v>49</v>
      </c>
      <c r="B116" s="68" t="s">
        <v>259</v>
      </c>
      <c r="C116" s="68" t="s">
        <v>16</v>
      </c>
      <c r="D116">
        <v>0</v>
      </c>
      <c r="E116" s="68"/>
      <c r="F116" s="68"/>
      <c r="H116">
        <v>0</v>
      </c>
    </row>
    <row r="117" spans="1:8" x14ac:dyDescent="0.25">
      <c r="A117">
        <v>50</v>
      </c>
      <c r="B117" s="68" t="s">
        <v>260</v>
      </c>
      <c r="C117" s="68" t="s">
        <v>10</v>
      </c>
      <c r="D117">
        <v>0</v>
      </c>
      <c r="E117" s="68"/>
      <c r="F117" s="68"/>
      <c r="H117">
        <v>0</v>
      </c>
    </row>
    <row r="118" spans="1:8" x14ac:dyDescent="0.25">
      <c r="A118">
        <v>51</v>
      </c>
      <c r="B118" s="68" t="s">
        <v>261</v>
      </c>
      <c r="C118" s="68" t="s">
        <v>48</v>
      </c>
      <c r="D118">
        <v>0</v>
      </c>
      <c r="E118" s="68"/>
      <c r="F118" s="68"/>
      <c r="H118">
        <v>0</v>
      </c>
    </row>
    <row r="119" spans="1:8" x14ac:dyDescent="0.25">
      <c r="A119">
        <v>62</v>
      </c>
      <c r="B119" s="68" t="s">
        <v>262</v>
      </c>
      <c r="C119" s="68" t="s">
        <v>33</v>
      </c>
      <c r="D119">
        <v>0</v>
      </c>
      <c r="E119" s="68"/>
      <c r="F119" s="68"/>
      <c r="H119">
        <v>0</v>
      </c>
    </row>
    <row r="120" spans="1:8" x14ac:dyDescent="0.25">
      <c r="A120">
        <v>65</v>
      </c>
      <c r="B120" s="68" t="s">
        <v>82</v>
      </c>
      <c r="C120" s="68" t="s">
        <v>10</v>
      </c>
      <c r="D120">
        <v>0</v>
      </c>
      <c r="E120" s="68"/>
      <c r="F120" s="68"/>
      <c r="H120">
        <v>0</v>
      </c>
    </row>
    <row r="121" spans="1:8" x14ac:dyDescent="0.25">
      <c r="A121">
        <v>66</v>
      </c>
      <c r="B121" s="68" t="s">
        <v>263</v>
      </c>
      <c r="C121" s="68" t="s">
        <v>10</v>
      </c>
      <c r="D121">
        <v>0</v>
      </c>
      <c r="E121" s="68"/>
      <c r="F121" s="68"/>
      <c r="H121">
        <v>0</v>
      </c>
    </row>
    <row r="122" spans="1:8" x14ac:dyDescent="0.25">
      <c r="A122">
        <v>69</v>
      </c>
      <c r="B122" s="68" t="s">
        <v>264</v>
      </c>
      <c r="C122" s="68" t="s">
        <v>48</v>
      </c>
      <c r="D122">
        <v>0</v>
      </c>
      <c r="E122" s="68"/>
      <c r="F122" s="68"/>
      <c r="H122">
        <v>0</v>
      </c>
    </row>
    <row r="123" spans="1:8" x14ac:dyDescent="0.25">
      <c r="A123">
        <v>72</v>
      </c>
      <c r="B123" s="68" t="s">
        <v>265</v>
      </c>
      <c r="C123" s="68" t="s">
        <v>22</v>
      </c>
      <c r="D123">
        <v>0</v>
      </c>
      <c r="E123" s="68"/>
      <c r="F123" s="68"/>
      <c r="H123">
        <v>0</v>
      </c>
    </row>
    <row r="124" spans="1:8" x14ac:dyDescent="0.25">
      <c r="A124">
        <v>73</v>
      </c>
      <c r="B124" s="68" t="s">
        <v>90</v>
      </c>
      <c r="C124" s="68" t="s">
        <v>16</v>
      </c>
      <c r="D124">
        <v>0</v>
      </c>
      <c r="E124" s="68"/>
      <c r="F124" s="68"/>
      <c r="H124">
        <v>0</v>
      </c>
    </row>
    <row r="125" spans="1:8" x14ac:dyDescent="0.25">
      <c r="A125">
        <v>74</v>
      </c>
      <c r="B125" s="68" t="s">
        <v>91</v>
      </c>
      <c r="C125" s="68" t="s">
        <v>14</v>
      </c>
      <c r="D125">
        <v>0</v>
      </c>
      <c r="E125" s="68"/>
      <c r="F125" s="68"/>
      <c r="H125">
        <v>0</v>
      </c>
    </row>
    <row r="126" spans="1:8" x14ac:dyDescent="0.25">
      <c r="A126">
        <v>75</v>
      </c>
      <c r="B126" s="68" t="s">
        <v>266</v>
      </c>
      <c r="C126" s="68" t="s">
        <v>10</v>
      </c>
      <c r="D126">
        <v>0</v>
      </c>
      <c r="E126" s="68"/>
      <c r="F126" s="68"/>
      <c r="H126">
        <v>0</v>
      </c>
    </row>
    <row r="127" spans="1:8" x14ac:dyDescent="0.25">
      <c r="A127">
        <v>76</v>
      </c>
      <c r="B127" s="68" t="s">
        <v>93</v>
      </c>
      <c r="C127" s="68" t="s">
        <v>33</v>
      </c>
      <c r="D127">
        <v>0</v>
      </c>
      <c r="E127" s="68"/>
      <c r="F127" s="68"/>
      <c r="H127">
        <v>0</v>
      </c>
    </row>
    <row r="128" spans="1:8" x14ac:dyDescent="0.25">
      <c r="A128">
        <v>78</v>
      </c>
      <c r="B128" s="68" t="s">
        <v>95</v>
      </c>
      <c r="C128" s="68" t="s">
        <v>14</v>
      </c>
      <c r="D128">
        <v>0</v>
      </c>
      <c r="E128" s="68"/>
      <c r="F128" s="68"/>
      <c r="H128">
        <v>0</v>
      </c>
    </row>
    <row r="129" spans="1:8" x14ac:dyDescent="0.25">
      <c r="A129">
        <v>83</v>
      </c>
      <c r="B129" s="68" t="s">
        <v>267</v>
      </c>
      <c r="C129" s="68" t="s">
        <v>22</v>
      </c>
      <c r="D129">
        <v>0</v>
      </c>
      <c r="E129" s="68"/>
      <c r="F129" s="68"/>
      <c r="H129">
        <v>0</v>
      </c>
    </row>
    <row r="130" spans="1:8" x14ac:dyDescent="0.25">
      <c r="A130">
        <v>84</v>
      </c>
      <c r="B130" s="68" t="s">
        <v>101</v>
      </c>
      <c r="C130" s="68" t="s">
        <v>14</v>
      </c>
      <c r="D130">
        <v>0</v>
      </c>
      <c r="E130" s="68"/>
      <c r="F130" s="68"/>
      <c r="H130">
        <v>0</v>
      </c>
    </row>
    <row r="131" spans="1:8" x14ac:dyDescent="0.25">
      <c r="A131">
        <v>89</v>
      </c>
      <c r="B131" s="68" t="s">
        <v>106</v>
      </c>
      <c r="C131" s="68" t="s">
        <v>10</v>
      </c>
      <c r="D131">
        <v>0</v>
      </c>
      <c r="E131" s="68"/>
      <c r="F131" s="68"/>
      <c r="H131">
        <v>0</v>
      </c>
    </row>
    <row r="132" spans="1:8" x14ac:dyDescent="0.25">
      <c r="A132">
        <v>90</v>
      </c>
      <c r="B132" s="68" t="s">
        <v>268</v>
      </c>
      <c r="C132" s="68" t="s">
        <v>14</v>
      </c>
      <c r="D132">
        <v>0</v>
      </c>
      <c r="E132" s="68"/>
      <c r="F132" s="68"/>
      <c r="H132">
        <v>0</v>
      </c>
    </row>
    <row r="133" spans="1:8" x14ac:dyDescent="0.25">
      <c r="A133">
        <v>91</v>
      </c>
      <c r="B133" s="68" t="s">
        <v>269</v>
      </c>
      <c r="C133" s="68" t="s">
        <v>14</v>
      </c>
      <c r="D133">
        <v>0</v>
      </c>
      <c r="E133" s="68"/>
      <c r="F133" s="68"/>
      <c r="H133">
        <v>0</v>
      </c>
    </row>
    <row r="134" spans="1:8" x14ac:dyDescent="0.25">
      <c r="A134">
        <v>94</v>
      </c>
      <c r="B134" s="68" t="s">
        <v>111</v>
      </c>
      <c r="C134" s="68" t="s">
        <v>48</v>
      </c>
      <c r="D134">
        <v>0</v>
      </c>
      <c r="E134" s="68"/>
      <c r="F134" s="68"/>
      <c r="H134">
        <v>0</v>
      </c>
    </row>
    <row r="135" spans="1:8" x14ac:dyDescent="0.25">
      <c r="A135">
        <v>95</v>
      </c>
      <c r="B135" s="68" t="s">
        <v>270</v>
      </c>
      <c r="C135" s="68" t="s">
        <v>48</v>
      </c>
      <c r="D135">
        <v>0</v>
      </c>
      <c r="E135" s="68"/>
      <c r="F135" s="68"/>
      <c r="H135">
        <v>0</v>
      </c>
    </row>
    <row r="136" spans="1:8" x14ac:dyDescent="0.25">
      <c r="A136">
        <v>96</v>
      </c>
      <c r="B136" s="68" t="s">
        <v>113</v>
      </c>
      <c r="C136" s="68" t="s">
        <v>48</v>
      </c>
      <c r="D136">
        <v>0</v>
      </c>
      <c r="E136" s="68"/>
      <c r="F136" s="68"/>
      <c r="H136">
        <v>0</v>
      </c>
    </row>
    <row r="137" spans="1:8" x14ac:dyDescent="0.25">
      <c r="A137">
        <v>98</v>
      </c>
      <c r="B137" s="68" t="s">
        <v>115</v>
      </c>
      <c r="C137" s="68" t="s">
        <v>14</v>
      </c>
      <c r="D137">
        <v>0</v>
      </c>
      <c r="E137" s="68"/>
      <c r="F137" s="68"/>
      <c r="H137">
        <v>0</v>
      </c>
    </row>
    <row r="138" spans="1:8" x14ac:dyDescent="0.25">
      <c r="A138">
        <v>101</v>
      </c>
      <c r="B138" s="68" t="s">
        <v>118</v>
      </c>
      <c r="C138" s="68" t="s">
        <v>10</v>
      </c>
      <c r="D138">
        <v>0</v>
      </c>
      <c r="E138" s="68"/>
      <c r="F138" s="68"/>
      <c r="H138">
        <v>0</v>
      </c>
    </row>
    <row r="139" spans="1:8" x14ac:dyDescent="0.25">
      <c r="A139">
        <v>103</v>
      </c>
      <c r="B139" s="68" t="s">
        <v>120</v>
      </c>
      <c r="C139" s="68" t="s">
        <v>10</v>
      </c>
      <c r="D139">
        <v>0</v>
      </c>
      <c r="E139" s="68"/>
      <c r="F139" s="68"/>
      <c r="H139">
        <v>0</v>
      </c>
    </row>
    <row r="140" spans="1:8" x14ac:dyDescent="0.25">
      <c r="A140">
        <v>104</v>
      </c>
      <c r="B140" s="68" t="s">
        <v>121</v>
      </c>
      <c r="C140" s="68" t="s">
        <v>14</v>
      </c>
      <c r="D140">
        <v>0</v>
      </c>
      <c r="E140" s="68"/>
      <c r="F140" s="68"/>
      <c r="H140">
        <v>0</v>
      </c>
    </row>
    <row r="141" spans="1:8" x14ac:dyDescent="0.25">
      <c r="A141">
        <v>105</v>
      </c>
      <c r="B141" s="68" t="s">
        <v>122</v>
      </c>
      <c r="C141" s="68" t="s">
        <v>16</v>
      </c>
      <c r="D141">
        <v>0</v>
      </c>
      <c r="E141" s="68"/>
      <c r="F141" s="68"/>
      <c r="H141">
        <v>0</v>
      </c>
    </row>
    <row r="142" spans="1:8" x14ac:dyDescent="0.25">
      <c r="A142">
        <v>111</v>
      </c>
      <c r="B142" s="68" t="s">
        <v>271</v>
      </c>
      <c r="C142" s="68" t="s">
        <v>10</v>
      </c>
      <c r="D142">
        <v>0</v>
      </c>
      <c r="E142" s="68"/>
      <c r="F142" s="68"/>
      <c r="H142">
        <v>0</v>
      </c>
    </row>
    <row r="143" spans="1:8" x14ac:dyDescent="0.25">
      <c r="A143">
        <v>115</v>
      </c>
      <c r="B143" s="68" t="s">
        <v>132</v>
      </c>
      <c r="C143" s="68" t="s">
        <v>10</v>
      </c>
      <c r="D143">
        <v>0</v>
      </c>
      <c r="E143" s="68"/>
      <c r="F143" s="68"/>
      <c r="H143">
        <v>0</v>
      </c>
    </row>
    <row r="144" spans="1:8" x14ac:dyDescent="0.25">
      <c r="A144">
        <v>124</v>
      </c>
      <c r="B144" s="68" t="s">
        <v>272</v>
      </c>
      <c r="C144" s="68" t="s">
        <v>10</v>
      </c>
      <c r="D144">
        <v>0</v>
      </c>
      <c r="E144" s="68"/>
      <c r="F144" s="68"/>
      <c r="H144">
        <v>0</v>
      </c>
    </row>
    <row r="145" spans="1:8" x14ac:dyDescent="0.25">
      <c r="A145">
        <v>125</v>
      </c>
      <c r="B145" s="68" t="s">
        <v>142</v>
      </c>
      <c r="C145" s="68" t="s">
        <v>48</v>
      </c>
      <c r="D145">
        <v>0</v>
      </c>
      <c r="E145" s="68"/>
      <c r="F145" s="68"/>
      <c r="H145">
        <v>0</v>
      </c>
    </row>
    <row r="146" spans="1:8" x14ac:dyDescent="0.25">
      <c r="A146">
        <v>128</v>
      </c>
      <c r="B146" s="68" t="s">
        <v>273</v>
      </c>
      <c r="C146" s="68" t="s">
        <v>10</v>
      </c>
      <c r="D146">
        <v>0</v>
      </c>
      <c r="E146" s="68"/>
      <c r="F146" s="68"/>
      <c r="H146">
        <v>0</v>
      </c>
    </row>
    <row r="147" spans="1:8" x14ac:dyDescent="0.25">
      <c r="A147">
        <v>129</v>
      </c>
      <c r="B147" s="68" t="s">
        <v>274</v>
      </c>
      <c r="C147" s="68" t="s">
        <v>10</v>
      </c>
      <c r="D147">
        <v>0</v>
      </c>
      <c r="E147" s="68"/>
      <c r="F147" s="68"/>
      <c r="H147">
        <v>0</v>
      </c>
    </row>
    <row r="148" spans="1:8" x14ac:dyDescent="0.25">
      <c r="A148">
        <v>130</v>
      </c>
      <c r="B148" s="68" t="s">
        <v>275</v>
      </c>
      <c r="C148" s="68" t="s">
        <v>10</v>
      </c>
      <c r="D148">
        <v>0</v>
      </c>
      <c r="E148" s="68"/>
      <c r="F148" s="68"/>
      <c r="H148">
        <v>0</v>
      </c>
    </row>
    <row r="149" spans="1:8" x14ac:dyDescent="0.25">
      <c r="A149">
        <v>134</v>
      </c>
      <c r="B149" s="68" t="s">
        <v>276</v>
      </c>
      <c r="C149" s="68" t="s">
        <v>22</v>
      </c>
      <c r="D149">
        <v>0</v>
      </c>
      <c r="E149" s="68"/>
      <c r="F149" s="68"/>
      <c r="H149">
        <v>0</v>
      </c>
    </row>
    <row r="150" spans="1:8" x14ac:dyDescent="0.25">
      <c r="A150">
        <v>135</v>
      </c>
      <c r="B150" s="68" t="s">
        <v>277</v>
      </c>
      <c r="C150" s="68" t="s">
        <v>10</v>
      </c>
      <c r="D150">
        <v>0</v>
      </c>
      <c r="E150" s="68"/>
      <c r="F150" s="68"/>
      <c r="H150">
        <v>0</v>
      </c>
    </row>
    <row r="151" spans="1:8" x14ac:dyDescent="0.25">
      <c r="A151">
        <v>138</v>
      </c>
      <c r="B151" s="68" t="s">
        <v>155</v>
      </c>
      <c r="C151" s="68" t="s">
        <v>16</v>
      </c>
      <c r="D151">
        <v>0</v>
      </c>
      <c r="E151" s="68"/>
      <c r="F151" s="68"/>
      <c r="H151">
        <v>0</v>
      </c>
    </row>
    <row r="152" spans="1:8" x14ac:dyDescent="0.25">
      <c r="A152">
        <v>139</v>
      </c>
      <c r="B152" s="68" t="s">
        <v>278</v>
      </c>
      <c r="C152" s="68" t="s">
        <v>16</v>
      </c>
      <c r="D152">
        <v>0</v>
      </c>
      <c r="E152" s="68"/>
      <c r="F152" s="68"/>
      <c r="H152">
        <v>0</v>
      </c>
    </row>
    <row r="153" spans="1:8" x14ac:dyDescent="0.25">
      <c r="A153">
        <v>141</v>
      </c>
      <c r="B153" s="68" t="s">
        <v>279</v>
      </c>
      <c r="C153" s="68" t="s">
        <v>14</v>
      </c>
      <c r="D153">
        <v>0</v>
      </c>
      <c r="E153" s="68"/>
      <c r="F153" s="68"/>
      <c r="H153">
        <v>0</v>
      </c>
    </row>
    <row r="154" spans="1:8" x14ac:dyDescent="0.25">
      <c r="A154">
        <v>142</v>
      </c>
      <c r="B154" s="68" t="s">
        <v>280</v>
      </c>
      <c r="C154" s="68" t="s">
        <v>33</v>
      </c>
      <c r="D154">
        <v>0</v>
      </c>
      <c r="E154" s="68"/>
      <c r="F154" s="68"/>
      <c r="H154">
        <v>0</v>
      </c>
    </row>
    <row r="155" spans="1:8" x14ac:dyDescent="0.25">
      <c r="A155">
        <v>143</v>
      </c>
      <c r="B155" s="68" t="s">
        <v>160</v>
      </c>
      <c r="C155" s="68" t="s">
        <v>10</v>
      </c>
      <c r="D155">
        <v>0</v>
      </c>
      <c r="E155" s="68"/>
      <c r="F155" s="68"/>
      <c r="H155">
        <v>0</v>
      </c>
    </row>
    <row r="156" spans="1:8" x14ac:dyDescent="0.25">
      <c r="A156">
        <v>145</v>
      </c>
      <c r="B156" s="68" t="s">
        <v>281</v>
      </c>
      <c r="C156" s="68" t="s">
        <v>22</v>
      </c>
      <c r="D156">
        <v>0</v>
      </c>
      <c r="E156" s="68"/>
      <c r="F156" s="68"/>
      <c r="H156">
        <v>0</v>
      </c>
    </row>
    <row r="157" spans="1:8" x14ac:dyDescent="0.25">
      <c r="A157">
        <v>148</v>
      </c>
      <c r="B157" s="68" t="s">
        <v>165</v>
      </c>
      <c r="C157" s="68" t="s">
        <v>33</v>
      </c>
      <c r="D157">
        <v>0</v>
      </c>
      <c r="E157" s="68"/>
      <c r="F157" s="68"/>
      <c r="H157">
        <v>0</v>
      </c>
    </row>
    <row r="158" spans="1:8" x14ac:dyDescent="0.25">
      <c r="A158">
        <v>150</v>
      </c>
      <c r="B158" s="68" t="s">
        <v>282</v>
      </c>
      <c r="C158" s="68" t="s">
        <v>10</v>
      </c>
      <c r="D158">
        <v>0</v>
      </c>
      <c r="E158" s="68"/>
      <c r="F158" s="68"/>
      <c r="H158">
        <v>0</v>
      </c>
    </row>
    <row r="159" spans="1:8" x14ac:dyDescent="0.25">
      <c r="A159">
        <v>151</v>
      </c>
      <c r="B159" s="68" t="s">
        <v>168</v>
      </c>
      <c r="C159" s="68" t="s">
        <v>22</v>
      </c>
      <c r="D159">
        <v>0</v>
      </c>
      <c r="E159" s="68"/>
      <c r="F159" s="68"/>
      <c r="H159">
        <v>0</v>
      </c>
    </row>
    <row r="160" spans="1:8" x14ac:dyDescent="0.25">
      <c r="A160">
        <v>152</v>
      </c>
      <c r="B160" s="68" t="s">
        <v>283</v>
      </c>
      <c r="C160" s="68" t="s">
        <v>22</v>
      </c>
      <c r="D160">
        <v>0</v>
      </c>
      <c r="E160" s="68"/>
      <c r="F160" s="68"/>
      <c r="H160">
        <v>0</v>
      </c>
    </row>
    <row r="161" spans="1:8" x14ac:dyDescent="0.25">
      <c r="A161">
        <v>157</v>
      </c>
      <c r="B161" s="68" t="s">
        <v>174</v>
      </c>
      <c r="C161" s="68" t="s">
        <v>175</v>
      </c>
      <c r="D161">
        <v>0</v>
      </c>
      <c r="E161" s="68"/>
      <c r="F161" s="68"/>
      <c r="H16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5A2B8-4390-4AE0-8911-8FE9CEB43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premiacao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Souza Kasemiro</dc:creator>
  <cp:lastModifiedBy>Luisa Souza Kasemiro</cp:lastModifiedBy>
  <dcterms:created xsi:type="dcterms:W3CDTF">2026-03-12T18:38:52Z</dcterms:created>
  <dcterms:modified xsi:type="dcterms:W3CDTF">2026-03-12T18:48:58Z</dcterms:modified>
</cp:coreProperties>
</file>